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ishid\Desktop\レビュー後\SF修正後\"/>
    </mc:Choice>
  </mc:AlternateContent>
  <xr:revisionPtr revIDLastSave="0" documentId="13_ncr:1_{CDEE6F09-595C-4F8B-B78F-C85EE35429D0}" xr6:coauthVersionLast="47" xr6:coauthVersionMax="47" xr10:uidLastSave="{00000000-0000-0000-0000-000000000000}"/>
  <bookViews>
    <workbookView xWindow="-108" yWindow="-108" windowWidth="23256" windowHeight="12456" tabRatio="860" xr2:uid="{00000000-000D-0000-FFFF-FFFF00000000}"/>
  </bookViews>
  <sheets>
    <sheet name="スケジュール（3日）" sheetId="33" r:id="rId1"/>
    <sheet name="特記イベント" sheetId="36" r:id="rId2"/>
    <sheet name="講義" sheetId="31" r:id="rId3"/>
    <sheet name="master" sheetId="21" r:id="rId4"/>
  </sheets>
  <definedNames>
    <definedName name="_xlnm.Print_Area" localSheetId="0">'スケジュール（3日）'!$A$1:$H$44</definedName>
    <definedName name="_xlnm.Print_Area" localSheetId="2">講義!$A$1:$L$191</definedName>
    <definedName name="_xlnm.Print_Area" localSheetId="1">特記イベント!$A$1:$L$14</definedName>
  </definedNames>
  <calcPr calcId="191028"/>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188" i="31" l="1"/>
  <c r="C189" i="31"/>
  <c r="G38" i="33"/>
  <c r="G12" i="33"/>
  <c r="G11" i="33"/>
  <c r="E36" i="33"/>
  <c r="E35" i="33"/>
  <c r="E34" i="33"/>
  <c r="E28" i="33"/>
  <c r="E27" i="33"/>
  <c r="E26" i="33"/>
  <c r="E11" i="33"/>
  <c r="C119" i="31"/>
  <c r="C136" i="31"/>
  <c r="C135" i="31"/>
  <c r="C125" i="31"/>
  <c r="C126" i="31"/>
  <c r="C127" i="31"/>
  <c r="B128" i="31"/>
  <c r="C128" i="31"/>
  <c r="C129" i="31"/>
  <c r="C130" i="31"/>
  <c r="C131" i="31"/>
  <c r="C132" i="31"/>
  <c r="B133" i="31"/>
  <c r="C133" i="31"/>
  <c r="C134" i="31"/>
  <c r="B125" i="31"/>
  <c r="B100" i="31"/>
  <c r="B109" i="31"/>
  <c r="B114" i="31"/>
  <c r="B120" i="31"/>
  <c r="C123" i="31"/>
  <c r="C124" i="31"/>
  <c r="C114" i="31"/>
  <c r="C115" i="31"/>
  <c r="C116" i="31"/>
  <c r="C117" i="31"/>
  <c r="C118" i="31"/>
  <c r="C120" i="31"/>
  <c r="C121" i="31"/>
  <c r="C122" i="31"/>
  <c r="C105" i="31"/>
  <c r="C106" i="31"/>
  <c r="C107" i="31"/>
  <c r="C108" i="31"/>
  <c r="C109" i="31"/>
  <c r="C110" i="31"/>
  <c r="C111" i="31"/>
  <c r="C112" i="31"/>
  <c r="C113" i="31"/>
  <c r="B95" i="31"/>
  <c r="C101" i="31"/>
  <c r="C102" i="31"/>
  <c r="C103" i="31"/>
  <c r="C104" i="31"/>
  <c r="C93" i="31"/>
  <c r="C94" i="31"/>
  <c r="C95" i="31"/>
  <c r="C96" i="31"/>
  <c r="C97" i="31"/>
  <c r="C98" i="31"/>
  <c r="C99" i="31"/>
  <c r="C100" i="31"/>
  <c r="C190" i="31"/>
  <c r="C32" i="33"/>
  <c r="C30" i="33"/>
  <c r="B63" i="31"/>
  <c r="C28" i="33"/>
  <c r="C26" i="33"/>
  <c r="C15" i="33"/>
  <c r="C13" i="33"/>
  <c r="C12" i="33"/>
  <c r="B23" i="31"/>
  <c r="C11" i="33"/>
  <c r="B188" i="31"/>
  <c r="C187" i="31"/>
  <c r="C186" i="31"/>
  <c r="C185" i="31"/>
  <c r="C184" i="31"/>
  <c r="B184" i="31"/>
  <c r="C183" i="31"/>
  <c r="C173" i="31"/>
  <c r="C171" i="31"/>
  <c r="B182" i="31"/>
  <c r="B170" i="31"/>
  <c r="C182" i="31"/>
  <c r="C181" i="31"/>
  <c r="C179" i="31"/>
  <c r="C178" i="31"/>
  <c r="C176" i="31"/>
  <c r="C175" i="31"/>
  <c r="C170" i="31"/>
  <c r="C169" i="31"/>
  <c r="C168" i="31"/>
  <c r="C167" i="31"/>
  <c r="C166" i="31"/>
  <c r="B166" i="31"/>
  <c r="C165" i="31"/>
  <c r="B165" i="31"/>
  <c r="B163" i="31"/>
  <c r="B145" i="31"/>
  <c r="B141" i="31"/>
  <c r="B138" i="31"/>
  <c r="C164" i="31"/>
  <c r="C163" i="31"/>
  <c r="C162" i="31"/>
  <c r="C161" i="31"/>
  <c r="C160" i="31"/>
  <c r="C159" i="31"/>
  <c r="C158" i="31"/>
  <c r="C157" i="31"/>
  <c r="C156" i="31"/>
  <c r="C155" i="31"/>
  <c r="C154" i="31"/>
  <c r="C153" i="31"/>
  <c r="C152" i="31"/>
  <c r="C151" i="31"/>
  <c r="C150" i="31"/>
  <c r="C149" i="31"/>
  <c r="C148" i="31"/>
  <c r="C147" i="31"/>
  <c r="C146" i="31"/>
  <c r="C145" i="31"/>
  <c r="C144" i="31"/>
  <c r="C143" i="31"/>
  <c r="C142" i="31"/>
  <c r="C141" i="31"/>
  <c r="C140" i="31"/>
  <c r="C139" i="31"/>
  <c r="C138" i="31"/>
  <c r="C137" i="31"/>
  <c r="B137" i="31"/>
  <c r="C90" i="31"/>
  <c r="C67" i="31"/>
  <c r="B92" i="31"/>
  <c r="B72" i="31"/>
  <c r="B59" i="31"/>
  <c r="C92" i="31"/>
  <c r="C89" i="31"/>
  <c r="C88" i="31"/>
  <c r="C87" i="31"/>
  <c r="C85" i="31"/>
  <c r="C84" i="31"/>
  <c r="C83" i="31"/>
  <c r="C82" i="31"/>
  <c r="C80" i="31"/>
  <c r="C78" i="31"/>
  <c r="C76" i="31"/>
  <c r="C74" i="31"/>
  <c r="C73" i="31"/>
  <c r="C72" i="31"/>
  <c r="C71" i="31"/>
  <c r="C70" i="31"/>
  <c r="C69" i="31"/>
  <c r="C68" i="31"/>
  <c r="C66" i="31"/>
  <c r="C65" i="31"/>
  <c r="C64" i="31"/>
  <c r="C63" i="31"/>
  <c r="C62" i="31"/>
  <c r="C61" i="31"/>
  <c r="C60" i="31"/>
  <c r="C59" i="31"/>
  <c r="C58" i="31"/>
  <c r="C57" i="31"/>
  <c r="C56" i="31"/>
  <c r="B56" i="31"/>
  <c r="C25" i="31"/>
  <c r="B29" i="31"/>
  <c r="B37" i="31"/>
  <c r="C55" i="31"/>
  <c r="C54" i="31"/>
  <c r="C53" i="31"/>
  <c r="C52" i="31"/>
  <c r="C51" i="31"/>
  <c r="C50" i="31"/>
  <c r="C49" i="31"/>
  <c r="C48" i="31"/>
  <c r="C47" i="31"/>
  <c r="C46" i="31"/>
  <c r="C45" i="31"/>
  <c r="C44" i="31"/>
  <c r="C43" i="31"/>
  <c r="C42" i="31"/>
  <c r="C41" i="31"/>
  <c r="C40" i="31"/>
  <c r="C39" i="31"/>
  <c r="C38" i="31"/>
  <c r="C37" i="31"/>
  <c r="C36" i="31"/>
  <c r="C35" i="31"/>
  <c r="C34" i="31"/>
  <c r="C33" i="31"/>
  <c r="C32" i="31"/>
  <c r="C31" i="31"/>
  <c r="C30" i="31"/>
  <c r="C29" i="31"/>
  <c r="C28" i="31"/>
  <c r="C22" i="31"/>
  <c r="B22" i="31"/>
  <c r="B2" i="33"/>
  <c r="C24" i="31"/>
  <c r="C26" i="31"/>
  <c r="C23" i="3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ishida</author>
  </authors>
  <commentList>
    <comment ref="F7" authorId="0" shapeId="0" xr:uid="{480EB300-ABA7-45D5-BED1-DFC5EDC1D09C}">
      <text>
        <r>
          <rPr>
            <b/>
            <sz val="9"/>
            <color indexed="81"/>
            <rFont val="MS P ゴシック"/>
            <family val="3"/>
            <charset val="128"/>
          </rPr>
          <t>・講義開始前：1日目の講義開始前
・講義終了後：最終日のアンケート実施前
・各演習開始前：各演習の開始前
・各演習終了後：各演習の終了後
・全演習終了後：全演習の終了後
・配布済み：すでに所有している状態</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ishida</author>
  </authors>
  <commentList>
    <comment ref="F7" authorId="0" shapeId="0" xr:uid="{64B0F3D5-EE14-4570-A1F7-7C1C72F43D2E}">
      <text>
        <r>
          <rPr>
            <b/>
            <sz val="9"/>
            <color indexed="81"/>
            <rFont val="MS P ゴシック"/>
            <family val="3"/>
            <charset val="128"/>
          </rPr>
          <t>・講義開始前：1日目の講義開始前
・講義終了後：最終日のアンケート実施前
・各演習開始前：各演習の開始前
・各演習終了後：各演習の終了後
・全演習終了後：全演習の終了後
・配布済み：すでに所有している状態</t>
        </r>
      </text>
    </comment>
  </commentList>
</comments>
</file>

<file path=xl/sharedStrings.xml><?xml version="1.0" encoding="utf-8"?>
<sst xmlns="http://schemas.openxmlformats.org/spreadsheetml/2006/main" count="836" uniqueCount="449">
  <si>
    <t>科目修了条件</t>
    <rPh sb="0" eb="2">
      <t>カモク</t>
    </rPh>
    <rPh sb="2" eb="4">
      <t>シュウリョウ</t>
    </rPh>
    <rPh sb="4" eb="6">
      <t>ジョウケン</t>
    </rPh>
    <phoneticPr fontId="3"/>
  </si>
  <si>
    <t>スケジュール</t>
    <phoneticPr fontId="3"/>
  </si>
  <si>
    <t>1 日目</t>
    <rPh sb="2" eb="3">
      <t>ニチ</t>
    </rPh>
    <rPh sb="3" eb="4">
      <t>メ</t>
    </rPh>
    <phoneticPr fontId="3"/>
  </si>
  <si>
    <t>2 日目</t>
    <rPh sb="2" eb="3">
      <t>ニチ</t>
    </rPh>
    <rPh sb="3" eb="4">
      <t>メ</t>
    </rPh>
    <phoneticPr fontId="3"/>
  </si>
  <si>
    <t>3 日目</t>
    <rPh sb="2" eb="3">
      <t>ニチ</t>
    </rPh>
    <rPh sb="3" eb="4">
      <t>メ</t>
    </rPh>
    <phoneticPr fontId="3"/>
  </si>
  <si>
    <t>オリエンテーション</t>
    <phoneticPr fontId="3"/>
  </si>
  <si>
    <t>予備</t>
    <rPh sb="0" eb="2">
      <t>ヨビ</t>
    </rPh>
    <phoneticPr fontId="3"/>
  </si>
  <si>
    <t>お昼休み</t>
    <rPh sb="1" eb="3">
      <t>ヒルヤス</t>
    </rPh>
    <phoneticPr fontId="3"/>
  </si>
  <si>
    <t/>
  </si>
  <si>
    <t>Git</t>
    <phoneticPr fontId="3"/>
  </si>
  <si>
    <t>特記イベント</t>
    <phoneticPr fontId="3"/>
  </si>
  <si>
    <t>講師の事前準備</t>
    <rPh sb="0" eb="2">
      <t>コウシ</t>
    </rPh>
    <rPh sb="3" eb="7">
      <t>ジゼンジュンビ</t>
    </rPh>
    <phoneticPr fontId="3"/>
  </si>
  <si>
    <t>番号</t>
    <rPh sb="0" eb="2">
      <t>バンゴウ</t>
    </rPh>
    <phoneticPr fontId="3"/>
  </si>
  <si>
    <t>使用教材</t>
    <phoneticPr fontId="3"/>
  </si>
  <si>
    <t>講師用資料の保存先</t>
    <rPh sb="0" eb="2">
      <t>コウシ</t>
    </rPh>
    <rPh sb="2" eb="3">
      <t>ヨウ</t>
    </rPh>
    <rPh sb="3" eb="5">
      <t>シリョウ</t>
    </rPh>
    <rPh sb="6" eb="8">
      <t>ホゾン</t>
    </rPh>
    <rPh sb="8" eb="9">
      <t>サキ</t>
    </rPh>
    <phoneticPr fontId="3"/>
  </si>
  <si>
    <t>配布タイミング</t>
    <rPh sb="0" eb="2">
      <t>ハイフ</t>
    </rPh>
    <phoneticPr fontId="3"/>
  </si>
  <si>
    <t>配布形式</t>
    <rPh sb="0" eb="2">
      <t>ハイフ</t>
    </rPh>
    <rPh sb="2" eb="4">
      <t>ケイシキ</t>
    </rPh>
    <phoneticPr fontId="3"/>
  </si>
  <si>
    <t>共通1</t>
    <rPh sb="0" eb="2">
      <t>キョウツウ</t>
    </rPh>
    <phoneticPr fontId="3"/>
  </si>
  <si>
    <t>【AI Native研修-バイブコーディング】研修の概要.pptx</t>
    <rPh sb="10" eb="12">
      <t>ケンシュウ</t>
    </rPh>
    <rPh sb="23" eb="25">
      <t>ケンシュウ</t>
    </rPh>
    <rPh sb="26" eb="28">
      <t>ガイヨウ</t>
    </rPh>
    <phoneticPr fontId="3"/>
  </si>
  <si>
    <t>－</t>
    <phoneticPr fontId="3"/>
  </si>
  <si>
    <t>不要</t>
    <rPh sb="0" eb="2">
      <t>フヨウ</t>
    </rPh>
    <phoneticPr fontId="3"/>
  </si>
  <si>
    <t>電子</t>
    <rPh sb="0" eb="2">
      <t>デンシ</t>
    </rPh>
    <phoneticPr fontId="3"/>
  </si>
  <si>
    <t>テーマ</t>
    <phoneticPr fontId="3"/>
  </si>
  <si>
    <t>主なポイント</t>
    <rPh sb="0" eb="1">
      <t>オモ</t>
    </rPh>
    <phoneticPr fontId="3"/>
  </si>
  <si>
    <t>使用教材</t>
    <rPh sb="0" eb="2">
      <t>シヨウ</t>
    </rPh>
    <rPh sb="2" eb="4">
      <t>キョウザイ</t>
    </rPh>
    <phoneticPr fontId="3"/>
  </si>
  <si>
    <t>環境</t>
    <rPh sb="0" eb="2">
      <t>カンキョウ</t>
    </rPh>
    <phoneticPr fontId="3"/>
  </si>
  <si>
    <t>共通</t>
    <rPh sb="0" eb="2">
      <t>キョウツウ</t>
    </rPh>
    <phoneticPr fontId="3"/>
  </si>
  <si>
    <t>実施上のの注意点</t>
    <rPh sb="0" eb="2">
      <t>ジッシ</t>
    </rPh>
    <rPh sb="2" eb="3">
      <t>ジョウ</t>
    </rPh>
    <rPh sb="5" eb="7">
      <t>チュウイ</t>
    </rPh>
    <rPh sb="7" eb="8">
      <t>テン</t>
    </rPh>
    <phoneticPr fontId="3"/>
  </si>
  <si>
    <t>可否</t>
    <rPh sb="0" eb="2">
      <t>カヒ</t>
    </rPh>
    <phoneticPr fontId="3"/>
  </si>
  <si>
    <t>時間</t>
    <rPh sb="0" eb="2">
      <t>ジカン</t>
    </rPh>
    <phoneticPr fontId="3"/>
  </si>
  <si>
    <t>オリエンテーション（初日）</t>
    <rPh sb="10" eb="12">
      <t>ショニチ</t>
    </rPh>
    <phoneticPr fontId="3"/>
  </si>
  <si>
    <t>・教材のダウンロード
・本科目の概要説明
　科目の位置づけや目的、全体の説明</t>
    <rPh sb="1" eb="3">
      <t>キョウザイ</t>
    </rPh>
    <phoneticPr fontId="3"/>
  </si>
  <si>
    <t xml:space="preserve">・共通1
</t>
    <rPh sb="1" eb="3">
      <t>キョウツウ</t>
    </rPh>
    <phoneticPr fontId="3"/>
  </si>
  <si>
    <t>○</t>
    <phoneticPr fontId="3"/>
  </si>
  <si>
    <t>オリエンテーション（2日目以降）</t>
    <rPh sb="11" eb="12">
      <t>ニチ</t>
    </rPh>
    <rPh sb="12" eb="13">
      <t>メ</t>
    </rPh>
    <rPh sb="13" eb="15">
      <t>イコウ</t>
    </rPh>
    <phoneticPr fontId="3"/>
  </si>
  <si>
    <t>・本日のスケジュールの説明</t>
    <rPh sb="1" eb="3">
      <t>ホンジツ</t>
    </rPh>
    <phoneticPr fontId="3"/>
  </si>
  <si>
    <t xml:space="preserve">・共通1
</t>
    <rPh sb="1" eb="3">
      <t>キョウツウ</t>
    </rPh>
    <phoneticPr fontId="3"/>
  </si>
  <si>
    <t>講義</t>
    <rPh sb="0" eb="2">
      <t>コウギ</t>
    </rPh>
    <phoneticPr fontId="3"/>
  </si>
  <si>
    <t>AI-01</t>
    <phoneticPr fontId="3"/>
  </si>
  <si>
    <t>【AI Native研修-バイブコーディング①】WebとDBとJavaとSpring.pptx</t>
    <phoneticPr fontId="3"/>
  </si>
  <si>
    <t>済</t>
    <rPh sb="0" eb="1">
      <t>スミ</t>
    </rPh>
    <phoneticPr fontId="3"/>
  </si>
  <si>
    <t>AI-02</t>
    <phoneticPr fontId="3"/>
  </si>
  <si>
    <t>【AI Native研修-バイブコーディング②】システム開発プロセス.pptx</t>
    <phoneticPr fontId="3"/>
  </si>
  <si>
    <t>AI-03</t>
  </si>
  <si>
    <t>【AI Native研修-バイブコーディング③】単体テストとJUnit.pptx</t>
    <phoneticPr fontId="3"/>
  </si>
  <si>
    <t>AI-04</t>
  </si>
  <si>
    <t>【AI Native研修-バイブコーディング】演習課題1 JavaでECサイト APを作成.pptx</t>
    <phoneticPr fontId="3"/>
  </si>
  <si>
    <t>AI-05</t>
  </si>
  <si>
    <t>AI-06</t>
    <phoneticPr fontId="3"/>
  </si>
  <si>
    <t>AI-07</t>
  </si>
  <si>
    <t>AI-08</t>
  </si>
  <si>
    <t>AI-09</t>
  </si>
  <si>
    <t>【AI Native研修-バイブコーディング】演習振り返り.docx</t>
    <phoneticPr fontId="3"/>
  </si>
  <si>
    <t>AI-10</t>
  </si>
  <si>
    <t>章</t>
    <rPh sb="0" eb="1">
      <t>ショウ</t>
    </rPh>
    <phoneticPr fontId="3"/>
  </si>
  <si>
    <t>実施上の注意点</t>
    <rPh sb="0" eb="2">
      <t>ジッシ</t>
    </rPh>
    <rPh sb="2" eb="3">
      <t>ジョウ</t>
    </rPh>
    <rPh sb="4" eb="6">
      <t>チュウイ</t>
    </rPh>
    <rPh sb="6" eb="7">
      <t>テン</t>
    </rPh>
    <phoneticPr fontId="3"/>
  </si>
  <si>
    <t>以下の内容を伝える。
これから以下の内容について説明します。
・Webアプリケーションの概要を理解する
・Webアプリケーションを開発する技術の概要を理解する
講義を聞くだけでなく、生成AIも積極的に活用してください。
分からない用語や仕組み、関連技術について生成AIに質問しながら学習することで、より理解を深めることができます。
生成AIを「答えを教えてもらうためのツール」ではなく、「理解を支援してくれる学習パートナー」として活用しながら受講してください。</t>
    <rPh sb="0" eb="2">
      <t>イカ</t>
    </rPh>
    <rPh sb="3" eb="5">
      <t>ナイヨウ</t>
    </rPh>
    <rPh sb="6" eb="7">
      <t>ツタ</t>
    </rPh>
    <phoneticPr fontId="3"/>
  </si>
  <si>
    <t xml:space="preserve">・AI-01
</t>
    <phoneticPr fontId="3"/>
  </si>
  <si>
    <t>以下の内容を詳細に説明する。
・クライアントとサーバー
・リクエストとレスポンス
クライアント：サービスを利用する側（利用者の端末やアプリケーション）
サーバー：サービスを提供する側（データや機能を管理するシステム）
リクエスト：クライアントからサーバーへの依頼
レスポンス：サーバーからクライアントへの応答
※AmazonなどのWebアプリケーションを例に挙げ、わかりやすさを重視した説明をしてください。</t>
    <rPh sb="0" eb="2">
      <t>イカ</t>
    </rPh>
    <rPh sb="3" eb="5">
      <t>ナイヨウ</t>
    </rPh>
    <rPh sb="6" eb="8">
      <t>ショウサイ</t>
    </rPh>
    <rPh sb="9" eb="11">
      <t>セツメイセツメイ</t>
    </rPh>
    <phoneticPr fontId="3"/>
  </si>
  <si>
    <t xml:space="preserve">・AI-01
</t>
    <phoneticPr fontId="3"/>
  </si>
  <si>
    <t>「Web画面アプリケーション」、「WebAPIアプリケーション」について、以下の観点を説明する。
・利用者と利用方法
・構成
・レスポンス
・具体例</t>
    <rPh sb="37" eb="39">
      <t>イカ</t>
    </rPh>
    <rPh sb="40" eb="42">
      <t>カンテン</t>
    </rPh>
    <rPh sb="43" eb="45">
      <t>セツメイ</t>
    </rPh>
    <phoneticPr fontId="3"/>
  </si>
  <si>
    <t xml:space="preserve">・AI-01
</t>
    <phoneticPr fontId="3"/>
  </si>
  <si>
    <t xml:space="preserve">図を中心にアプリケーションとハードウェアとの関係を説明する。
アプリケーションとは、「特定の作業を行うために開発されたソフトウェアプログラム」のこと
</t>
    <rPh sb="22" eb="24">
      <t>カンケイ</t>
    </rPh>
    <phoneticPr fontId="3"/>
  </si>
  <si>
    <t xml:space="preserve">・AI-01
</t>
    <phoneticPr fontId="3"/>
  </si>
  <si>
    <t>図を中心に以下の用語を説明する。
・ブラウザ
・HTML
※ここではレスポンスの話が中心</t>
    <rPh sb="5" eb="7">
      <t>イカ</t>
    </rPh>
    <rPh sb="8" eb="10">
      <t>ヨウゴ</t>
    </rPh>
    <rPh sb="11" eb="13">
      <t>セツメイ</t>
    </rPh>
    <rPh sb="40" eb="41">
      <t>ハナシ</t>
    </rPh>
    <rPh sb="42" eb="44">
      <t>チュウシン</t>
    </rPh>
    <phoneticPr fontId="3"/>
  </si>
  <si>
    <t xml:space="preserve">・AI-01
</t>
    <phoneticPr fontId="3"/>
  </si>
  <si>
    <t>ブラウザのデバッガでレスポンスを確認するデモを見せる。
※レスポンスボディのHTMLを確認する</t>
    <rPh sb="16" eb="18">
      <t>カクニン</t>
    </rPh>
    <rPh sb="23" eb="24">
      <t>ミ</t>
    </rPh>
    <rPh sb="43" eb="45">
      <t>カクニン</t>
    </rPh>
    <phoneticPr fontId="3"/>
  </si>
  <si>
    <t xml:space="preserve">HTTPメソッドとは、「クライアントがサーバーに対して何をしたいのか」を表す種類のこと
・GET:データの取得が目的
・POST：データの送信が目的
・PUT：データの更新が目的
・DELETE：データの削除が目的
※データ構造の説明は不要です。
</t>
    <rPh sb="54" eb="56">
      <t>シュトク</t>
    </rPh>
    <rPh sb="57" eb="59">
      <t>モクテキ</t>
    </rPh>
    <rPh sb="70" eb="72">
      <t>ソウシン</t>
    </rPh>
    <rPh sb="73" eb="75">
      <t>モクテキ</t>
    </rPh>
    <rPh sb="85" eb="87">
      <t>コウシン</t>
    </rPh>
    <rPh sb="88" eb="90">
      <t>モクテキ</t>
    </rPh>
    <rPh sb="103" eb="105">
      <t>サクジョ</t>
    </rPh>
    <rPh sb="106" eb="108">
      <t>モクテキ</t>
    </rPh>
    <rPh sb="114" eb="116">
      <t>コウゾウ</t>
    </rPh>
    <rPh sb="117" eb="119">
      <t>セツメイ</t>
    </rPh>
    <rPh sb="120" eb="122">
      <t>フヨウ</t>
    </rPh>
    <phoneticPr fontId="3"/>
  </si>
  <si>
    <t xml:space="preserve">・AI-01
</t>
    <phoneticPr fontId="3"/>
  </si>
  <si>
    <r>
      <t xml:space="preserve">データベースとは、「データベースとは、データを効率的に保存・管理し、検索や更新を容易に行うために整理された情報の集まり」のこと
本研修では、「リレーショナルデータベース」を利用することを伝える。
</t>
    </r>
    <r>
      <rPr>
        <sz val="9"/>
        <color rgb="FFFF0000"/>
        <rFont val="Meiryo UI"/>
        <family val="3"/>
        <charset val="128"/>
      </rPr>
      <t>※データベースの形態の表があるが分類の粒度が不適切なので、サラッとながす。</t>
    </r>
    <rPh sb="65" eb="68">
      <t>ホンケンシュウ</t>
    </rPh>
    <rPh sb="87" eb="89">
      <t>リヨウ</t>
    </rPh>
    <rPh sb="94" eb="95">
      <t>ツタ</t>
    </rPh>
    <rPh sb="108" eb="110">
      <t>ケイタイ</t>
    </rPh>
    <rPh sb="111" eb="112">
      <t>ヒョウ</t>
    </rPh>
    <rPh sb="116" eb="118">
      <t>ブンルイ</t>
    </rPh>
    <rPh sb="119" eb="121">
      <t>リュウド</t>
    </rPh>
    <rPh sb="122" eb="125">
      <t>フテキセツ</t>
    </rPh>
    <phoneticPr fontId="3"/>
  </si>
  <si>
    <t xml:space="preserve">以下の概要を説明する。
・テーブル：関連するデータを表形式でまとめたもの
・行：1件分のデータ（横方向）
・列：データの項目（縦方向）
・関係：テーブル同士のつながり
・SQL：テーブルを操作するための言語
</t>
    <rPh sb="3" eb="5">
      <t>ガイヨウ</t>
    </rPh>
    <rPh sb="6" eb="8">
      <t>セツメイ</t>
    </rPh>
    <rPh sb="38" eb="39">
      <t>ギョウ</t>
    </rPh>
    <rPh sb="48" eb="49">
      <t>ヨコ</t>
    </rPh>
    <rPh sb="49" eb="51">
      <t>ホウコウ</t>
    </rPh>
    <rPh sb="54" eb="55">
      <t>レツ</t>
    </rPh>
    <rPh sb="63" eb="64">
      <t>タテ</t>
    </rPh>
    <rPh sb="69" eb="71">
      <t>カンケイ</t>
    </rPh>
    <rPh sb="94" eb="96">
      <t>ソウサ</t>
    </rPh>
    <rPh sb="101" eb="103">
      <t>ゲンゴ</t>
    </rPh>
    <phoneticPr fontId="3"/>
  </si>
  <si>
    <t xml:space="preserve">・AI-01
</t>
    <phoneticPr fontId="3"/>
  </si>
  <si>
    <t>データの管理が主体であることを説明する。</t>
    <rPh sb="4" eb="6">
      <t>カンリ</t>
    </rPh>
    <rPh sb="7" eb="9">
      <t>シュタイ</t>
    </rPh>
    <rPh sb="15" eb="17">
      <t>セツメイ</t>
    </rPh>
    <phoneticPr fontId="3"/>
  </si>
  <si>
    <t xml:space="preserve">・AI-01
</t>
    <phoneticPr fontId="3"/>
  </si>
  <si>
    <t>※アニメーション</t>
    <phoneticPr fontId="3"/>
  </si>
  <si>
    <t xml:space="preserve">以下の概要を説明する。
・テーブル：Excelのシート
・レコード：Excelの行
・カラム：Excelの列
・フィールド：Excelのセル
</t>
    <rPh sb="38" eb="39">
      <t>ギョウ</t>
    </rPh>
    <rPh sb="51" eb="52">
      <t>レツ</t>
    </rPh>
    <phoneticPr fontId="3"/>
  </si>
  <si>
    <t>データ型とは、「データの性質や範囲などを定義する制約」のこと
データ型の種類
・数値型
・文字列型
・日付型
・バイナリデータ型　etc.</t>
    <rPh sb="24" eb="26">
      <t>セイヤク</t>
    </rPh>
    <phoneticPr fontId="3"/>
  </si>
  <si>
    <t xml:space="preserve">・AI-01
</t>
    <phoneticPr fontId="3"/>
  </si>
  <si>
    <r>
      <t xml:space="preserve">データベースの種類によって異なることを説明する。
</t>
    </r>
    <r>
      <rPr>
        <sz val="9"/>
        <color rgb="FFFF0000"/>
        <rFont val="Meiryo UI"/>
        <family val="3"/>
        <charset val="128"/>
      </rPr>
      <t>※今回はH2DBなので細かい説明は不要。</t>
    </r>
    <rPh sb="7" eb="9">
      <t>シュルイ</t>
    </rPh>
    <rPh sb="13" eb="14">
      <t>コト</t>
    </rPh>
    <rPh sb="19" eb="21">
      <t>セツメイ</t>
    </rPh>
    <rPh sb="26" eb="28">
      <t>コンカイ</t>
    </rPh>
    <rPh sb="36" eb="37">
      <t>コマ</t>
    </rPh>
    <rPh sb="39" eb="41">
      <t>セツメイ</t>
    </rPh>
    <rPh sb="42" eb="44">
      <t>フヨウ</t>
    </rPh>
    <phoneticPr fontId="3"/>
  </si>
  <si>
    <r>
      <rPr>
        <sz val="9"/>
        <color rgb="FFFF0000"/>
        <rFont val="Meiryo UI"/>
        <family val="3"/>
        <charset val="128"/>
      </rPr>
      <t xml:space="preserve">リレーション＝リレーションシップという意味として説明する。
</t>
    </r>
    <r>
      <rPr>
        <sz val="9"/>
        <color theme="1"/>
        <rFont val="Meiryo UI"/>
        <family val="3"/>
        <charset val="128"/>
      </rPr>
      <t>リレーションとは、「テーブル同士の関連」のこと</t>
    </r>
    <rPh sb="19" eb="21">
      <t>イミ</t>
    </rPh>
    <rPh sb="24" eb="26">
      <t>セツメイ</t>
    </rPh>
    <rPh sb="44" eb="46">
      <t>ドウシ</t>
    </rPh>
    <rPh sb="47" eb="49">
      <t>カンレン</t>
    </rPh>
    <phoneticPr fontId="3"/>
  </si>
  <si>
    <t>結合（JOIN）とは、「関連するデータを組み合わせて取得する」こと
例）赤、青</t>
    <rPh sb="34" eb="35">
      <t>レイ</t>
    </rPh>
    <rPh sb="36" eb="37">
      <t>アカ</t>
    </rPh>
    <rPh sb="38" eb="39">
      <t>アオ</t>
    </rPh>
    <phoneticPr fontId="3"/>
  </si>
  <si>
    <r>
      <t xml:space="preserve">Javaの選定理由を説明する。
・言語自体の処理性能が優れており、大規模Webアプリケーション開発に適している
・NTTデータにおけるシステム開発で広く使われているため
・世界的に開発者数、使用数が多いため
</t>
    </r>
    <r>
      <rPr>
        <sz val="9"/>
        <color rgb="FFFF0000"/>
        <rFont val="Meiryo UI"/>
        <family val="3"/>
        <charset val="128"/>
      </rPr>
      <t>※ナレッジが多い言語を使った方が生成AIとの相性が良い。</t>
    </r>
    <rPh sb="5" eb="7">
      <t>センテイ</t>
    </rPh>
    <rPh sb="7" eb="9">
      <t>リユウ</t>
    </rPh>
    <rPh sb="10" eb="12">
      <t>セツメイ</t>
    </rPh>
    <rPh sb="111" eb="112">
      <t>オオ</t>
    </rPh>
    <rPh sb="113" eb="115">
      <t>ゲンゴ</t>
    </rPh>
    <rPh sb="116" eb="117">
      <t>ツカ</t>
    </rPh>
    <rPh sb="119" eb="120">
      <t>ホウ</t>
    </rPh>
    <rPh sb="121" eb="123">
      <t>セイセイ</t>
    </rPh>
    <rPh sb="127" eb="129">
      <t>アイショウ</t>
    </rPh>
    <rPh sb="130" eb="131">
      <t>ヨ</t>
    </rPh>
    <phoneticPr fontId="3"/>
  </si>
  <si>
    <t>言語の特徴を説明する。
・コンパイルが必要な言語
・JVM（Java Virtual Machine）
・難しかったメモリ管理が不要
・オブジェクト指向をもとにしたオブジェクト指向プログラミングをサポート</t>
    <rPh sb="0" eb="2">
      <t>ゲンゴ</t>
    </rPh>
    <rPh sb="3" eb="5">
      <t>トクチョウ</t>
    </rPh>
    <rPh sb="6" eb="8">
      <t>セツメイ</t>
    </rPh>
    <phoneticPr fontId="3"/>
  </si>
  <si>
    <t>各要素の関係が理解できるように説明する。
・Jarファイル
・パッケージ
・クラス
・メソッド</t>
    <rPh sb="0" eb="1">
      <t>カク</t>
    </rPh>
    <rPh sb="1" eb="3">
      <t>ヨウソ</t>
    </rPh>
    <rPh sb="4" eb="6">
      <t>カンケイ</t>
    </rPh>
    <rPh sb="7" eb="9">
      <t>リカイ</t>
    </rPh>
    <rPh sb="15" eb="17">
      <t>セツメイ</t>
    </rPh>
    <phoneticPr fontId="3"/>
  </si>
  <si>
    <t xml:space="preserve">・AI-01
</t>
    <phoneticPr fontId="3"/>
  </si>
  <si>
    <t>階層(レイヤー)に役割を分けて、アプリケーションを構築することを説明する。
▮役所の住民票異動
・申請様式用紙：入出力
・窓口：受付・担当を決める役割
・住民課：具体的に業務を行う役割
・書類棚：住民情報を保管・取得・更新する役割</t>
    <rPh sb="12" eb="13">
      <t>ワ</t>
    </rPh>
    <rPh sb="25" eb="27">
      <t>コウチク</t>
    </rPh>
    <rPh sb="32" eb="34">
      <t>セツメイ</t>
    </rPh>
    <rPh sb="56" eb="59">
      <t>ニュウシュツリョク</t>
    </rPh>
    <phoneticPr fontId="3"/>
  </si>
  <si>
    <t>・View（申請様式用紙）
　住民票異動の申請書に必要事項を記入し、結果を受け取ります。
　※Webアプリケーションでは、ユーザーが操作する画面に相当します。
・Controller（窓口）
　窓口は申請内容を受け取り、住民票異動の申請なのか、戸籍関係の申請なのか、を判断して担当部署へ渡します。
　※Webアプリケーションでは、リクエストを受け取り適切な処理へ振り分けます。
・Service（住民課）
　住民課は、住所変更を行う、内容を確認する、必要な手続きを実施するなどの業務を行います。
　※Webアプリケーションでは、業務ルールや業務処理を担当します。
Repository（書類棚）
　書類棚から住民情報を取り出したり、更新後の情報を保管したりします。
　※Webアプリケーションでは、データベースの検索・登録・更新・削除を担当します。</t>
    <phoneticPr fontId="3"/>
  </si>
  <si>
    <t xml:space="preserve">・AI-01
</t>
    <phoneticPr fontId="3"/>
  </si>
  <si>
    <t>✕</t>
    <phoneticPr fontId="3"/>
  </si>
  <si>
    <t>本研修におけるModelとは、「各レイヤー間でデータを受け渡す役割の総称」のこと。
※役割や利用するレイヤーによって、Form、ViewModel、Model、Entity など異なる名称で呼ばれる。</t>
    <phoneticPr fontId="3"/>
  </si>
  <si>
    <t>フレームワークとは、「アプリケーション開発を効率化するために、よく利用される機能や仕組みをあらかじめ提供しているソフトウェア」のこと。
Webアプリケーション開発では、
・HTTPリクエストを受け取る
・データを埋め込んだHTMLを生成する
・データベースと連携する
などの機能がフレームワークによって提供されているため、開発者は業務に必要な部分の実装に集中することができる。
開発者は、フレームワークが用意したルールや構造に従うことで、効率的にアプリケーションを開発できる。</t>
    <phoneticPr fontId="3"/>
  </si>
  <si>
    <t xml:space="preserve">・AI-01
</t>
    <phoneticPr fontId="3"/>
  </si>
  <si>
    <t>Javaで開発するWebアプリケーションフレームワークは複数あるが、Springフレームワークの一強になっている。</t>
    <phoneticPr fontId="3"/>
  </si>
  <si>
    <t>Springフレームワークとは、「Java向けの包括的なアプリケーションフレームワーク」のこと。
Springには様々な機能が用意されており、主なものとして以下がある。
Spring Framework：DIコンテナやAOPなど、Springの基本機能を提供する
Spring MVC：MVCモデルによるWebアプリケーション開発を支援する
Spring Security：認証・認可などのセキュリティ機能を提供する
Spring Batch：大量データを効率的に処理するためのバッチ機能を提供する
Spring Boot：Springアプリケーションを簡単に構築・実行するための機能を提供する（詳細は後述）
TERASOLUNAフレームワークは、「Springをベースとして、日本企業の業務システム開発に適した開発ガイドラインやベストプラクティスを整備したフレームワーク」のことである。
Springが提供する機能に加え、設計方針や実装ルールを統一することで、品質の高い業務システムを効率的に開発できるようにしている。</t>
    <phoneticPr fontId="3"/>
  </si>
  <si>
    <t xml:space="preserve">・AI-01
</t>
    <phoneticPr fontId="3"/>
  </si>
  <si>
    <t>DIコンテナとは、「プログラムで利用する部品を自動的に準備し、必要なクラスへ渡してくれる仕組みを持つソフトウェア」のこと。
あらかじめ役割ごとの部品を用意しておき、DIコンテナが必要なタイミングで適切に組み合わせて利用する。
※DI：ある部品が必要とする別の部品を外部から渡してもらう仕組み
※DIコンテナ：その仕組みを実現するためのソフトウェア</t>
    <rPh sb="48" eb="49">
      <t>モ</t>
    </rPh>
    <phoneticPr fontId="3"/>
  </si>
  <si>
    <t>インジェクションの例とアノテーションを説明する。</t>
    <rPh sb="9" eb="10">
      <t>レイ</t>
    </rPh>
    <rPh sb="19" eb="21">
      <t>セツメイ</t>
    </rPh>
    <phoneticPr fontId="3"/>
  </si>
  <si>
    <t>コンテナ管理対象として登録するためのアノテーション：管理対象の部品
@Controller
@Service
@Repository/@Mapper
インジェクション（DI）を利用するためのアノテーション：部品の注入
@Autowire</t>
    <phoneticPr fontId="3"/>
  </si>
  <si>
    <t>全体設定の内容を説明する。
JavaConfig：JavaコードでDIコンテナの設定を行う方式
XML：XMLファイルでDIコンテナの設定を行う方式
@Bean：JavaConfigでDIコンテナの管理対象（Bean）を登録するためのアノテーション
※@Serviceや@Repositoryなどの登録用アノテーションを付与できない場合（コードの修正が不可能）に利用する。</t>
    <rPh sb="0" eb="2">
      <t>ゼンタイ</t>
    </rPh>
    <rPh sb="2" eb="4">
      <t>セッテイ</t>
    </rPh>
    <rPh sb="5" eb="7">
      <t>ナイヨウ</t>
    </rPh>
    <rPh sb="8" eb="10">
      <t>セツメイ</t>
    </rPh>
    <rPh sb="174" eb="176">
      <t>シュウセイ</t>
    </rPh>
    <rPh sb="177" eb="180">
      <t>フカノウ</t>
    </rPh>
    <phoneticPr fontId="3"/>
  </si>
  <si>
    <t>SpringBootとは、「Springアプリケーションを簡単に構築・実行するための機能を提供するフレームワーク」のこと。</t>
    <phoneticPr fontId="3"/>
  </si>
  <si>
    <t>Spring Bootを利用すると、Spring Frameworkで必要だった多くの設定が自動化されるため、開発者は設定作業を大幅に削減できる。
ただし、独自のBeanを登録する場合など、一部のケースではJavaConfigを利用して設定を行う。</t>
    <phoneticPr fontId="3"/>
  </si>
  <si>
    <t>Starterとは、「特定の機能を利用するために必要なライブラリ群をまとめて提供する仕組み」のこと。
Webアプリケーション開発に必要なライブラリがまとめて導入することができる。</t>
    <phoneticPr fontId="3"/>
  </si>
  <si>
    <t>組込みWebAPサーバとは、「アプリケーション内に組み込まれたWebアプリケーションサーバ」のこと。
Spring Bootでは、Webアプリケーションを実行するために必要なWebAPサーバ（Tomcatなど）があらかじめ組み込まれているため、開発者が別途サーバをインストールしたり設定したりする必要がない。
war ⇒　jar</t>
    <phoneticPr fontId="3"/>
  </si>
  <si>
    <t>課題1について説明する。
※課題2は別紙なので今は気にしないことを伝える。</t>
    <rPh sb="0" eb="2">
      <t>カダイ</t>
    </rPh>
    <rPh sb="7" eb="9">
      <t>セツメイ</t>
    </rPh>
    <rPh sb="14" eb="16">
      <t>カダイ</t>
    </rPh>
    <rPh sb="18" eb="20">
      <t>ベッシ</t>
    </rPh>
    <rPh sb="23" eb="24">
      <t>イマ</t>
    </rPh>
    <rPh sb="25" eb="26">
      <t>キ</t>
    </rPh>
    <rPh sb="33" eb="34">
      <t>ツタ</t>
    </rPh>
    <phoneticPr fontId="3"/>
  </si>
  <si>
    <t xml:space="preserve">・AI-04
</t>
    <phoneticPr fontId="3"/>
  </si>
  <si>
    <t xml:space="preserve">ECサイトをWebアプリケーションとして作成することを説明する。
※イベント（注文の流れ）を説明する。
</t>
    <rPh sb="20" eb="22">
      <t>サクセイ</t>
    </rPh>
    <rPh sb="27" eb="29">
      <t>セツメイ</t>
    </rPh>
    <rPh sb="39" eb="41">
      <t>チュウモン</t>
    </rPh>
    <rPh sb="42" eb="43">
      <t>ナガ</t>
    </rPh>
    <rPh sb="46" eb="48">
      <t>セツメイ</t>
    </rPh>
    <phoneticPr fontId="3"/>
  </si>
  <si>
    <t>本演習は、以下の順で実施することを説明する。
①Spring Bootプロジェクトの準備、起動確認
②ECサイト Webアプリの要件
③バイブコーディング演習</t>
    <rPh sb="0" eb="1">
      <t>ホン</t>
    </rPh>
    <rPh sb="1" eb="3">
      <t>エンシュウ</t>
    </rPh>
    <rPh sb="5" eb="7">
      <t>イカ</t>
    </rPh>
    <rPh sb="8" eb="9">
      <t>ジュン</t>
    </rPh>
    <rPh sb="10" eb="12">
      <t>ジッシ</t>
    </rPh>
    <rPh sb="17" eb="19">
      <t>セツメイ</t>
    </rPh>
    <phoneticPr fontId="3"/>
  </si>
  <si>
    <t xml:space="preserve">・AI-04
</t>
    <phoneticPr fontId="3"/>
  </si>
  <si>
    <t>・AI-04</t>
    <phoneticPr fontId="3"/>
  </si>
  <si>
    <r>
      <t xml:space="preserve">VSコードでプロジェクトを開く。
</t>
    </r>
    <r>
      <rPr>
        <sz val="9"/>
        <color rgb="FFFF0000"/>
        <rFont val="Meiryo UI"/>
        <family val="3"/>
        <charset val="128"/>
      </rPr>
      <t>※ハンズオンとして実施する。</t>
    </r>
    <rPh sb="13" eb="14">
      <t>ヒラ</t>
    </rPh>
    <rPh sb="26" eb="28">
      <t>ジッシ</t>
    </rPh>
    <phoneticPr fontId="3"/>
  </si>
  <si>
    <t>割愛する。</t>
    <rPh sb="0" eb="2">
      <t>カツアイ</t>
    </rPh>
    <phoneticPr fontId="3"/>
  </si>
  <si>
    <t xml:space="preserve">・AI-04
</t>
    <phoneticPr fontId="3"/>
  </si>
  <si>
    <r>
      <t xml:space="preserve">プロジェクトを実行し、ブラウザで確認する。
1. ターミナルを開き、以下のコマンドを実行する。
　mvn spring-boot:run
2. ブラウザを開き、以下を入力する。
　http://localhost:8080
</t>
    </r>
    <r>
      <rPr>
        <sz val="9"/>
        <color rgb="FFFF0000"/>
        <rFont val="Meiryo UI"/>
        <family val="3"/>
        <charset val="128"/>
      </rPr>
      <t>※ハンズオンとして実施する。</t>
    </r>
    <phoneticPr fontId="3"/>
  </si>
  <si>
    <t xml:space="preserve">・AI-04
</t>
    <phoneticPr fontId="3"/>
  </si>
  <si>
    <t>Webアプリケーションの要件を説明する。
・ビジネスルール（本演習で行うこと）
・禁止事項（本演習で行わないこと）</t>
    <rPh sb="15" eb="17">
      <t>セツメイ</t>
    </rPh>
    <rPh sb="30" eb="31">
      <t>ホン</t>
    </rPh>
    <rPh sb="31" eb="33">
      <t>エンシュウ</t>
    </rPh>
    <rPh sb="34" eb="35">
      <t>オコナ</t>
    </rPh>
    <rPh sb="46" eb="47">
      <t>ホン</t>
    </rPh>
    <rPh sb="50" eb="51">
      <t>オコナ</t>
    </rPh>
    <phoneticPr fontId="3"/>
  </si>
  <si>
    <t xml:space="preserve">・AI-04
</t>
    <phoneticPr fontId="3"/>
  </si>
  <si>
    <r>
      <t xml:space="preserve">本演習で作成する画面（仕様）の一覧は、以下であること説明する。
・商品一覧画面：products.html
・商品詳細画面：products-detail.html
・カート画面：cart.html
・注文確認画面：order-confirm.html
・注文完了画面：order-complete.html
以下の仕様に従って実装する必要があることを伝える。
・テンプレート＝Thymeleafテンプレート
・概要
</t>
    </r>
    <r>
      <rPr>
        <sz val="9"/>
        <color rgb="FFFF0000"/>
        <rFont val="Meiryo UI"/>
        <family val="3"/>
        <charset val="128"/>
      </rPr>
      <t>※プロンプトに記載が必要。</t>
    </r>
    <rPh sb="0" eb="1">
      <t>ホン</t>
    </rPh>
    <rPh sb="1" eb="3">
      <t>エンシュウ</t>
    </rPh>
    <rPh sb="4" eb="6">
      <t>サクセイ</t>
    </rPh>
    <rPh sb="8" eb="10">
      <t>ガメン</t>
    </rPh>
    <rPh sb="15" eb="17">
      <t>イチラン</t>
    </rPh>
    <rPh sb="19" eb="21">
      <t>イカ</t>
    </rPh>
    <rPh sb="26" eb="28">
      <t>セツメイ</t>
    </rPh>
    <rPh sb="207" eb="209">
      <t>ガイヨウ</t>
    </rPh>
    <phoneticPr fontId="3"/>
  </si>
  <si>
    <t xml:space="preserve">・AI-04
</t>
    <phoneticPr fontId="3"/>
  </si>
  <si>
    <r>
      <t xml:space="preserve">本演習で作成する機能（仕様）の一覧は、以下であること説明する。
・商品一覧表示
・商品詳細表示
・カート追加
・カート画面表示
・カート数量更新
・カート削除
・注文確認画面表示
・注文確定
・注文完了画面表示
以下の仕様に従って実装する必要があることを伝える。
・URLパス
・フォーム入力項目
・表示内容/遷移先
</t>
    </r>
    <r>
      <rPr>
        <sz val="9"/>
        <color rgb="FFFF0000"/>
        <rFont val="Meiryo UI"/>
        <family val="3"/>
        <charset val="128"/>
      </rPr>
      <t>※プロンプトに記載が必要。</t>
    </r>
    <rPh sb="8" eb="10">
      <t>キノウ</t>
    </rPh>
    <rPh sb="15" eb="17">
      <t>イチラン</t>
    </rPh>
    <rPh sb="128" eb="129">
      <t>ツタ</t>
    </rPh>
    <rPh sb="167" eb="169">
      <t>キサイ</t>
    </rPh>
    <rPh sb="170" eb="172">
      <t>ヒツヨウ</t>
    </rPh>
    <phoneticPr fontId="3"/>
  </si>
  <si>
    <t xml:space="preserve">・AI-04
</t>
    <phoneticPr fontId="3"/>
  </si>
  <si>
    <r>
      <t xml:space="preserve">本演習で作成するイベント名（仕様）の一覧は、以下であること説明する。
・ボタン名
・リンク名
</t>
    </r>
    <r>
      <rPr>
        <sz val="9"/>
        <color rgb="FFFF0000"/>
        <rFont val="Meiryo UI"/>
        <family val="3"/>
        <charset val="128"/>
      </rPr>
      <t>※プロンプトに記載が必要。</t>
    </r>
    <rPh sb="12" eb="13">
      <t>メイ</t>
    </rPh>
    <rPh sb="18" eb="20">
      <t>イチラン</t>
    </rPh>
    <rPh sb="50" eb="51">
      <t>メイ</t>
    </rPh>
    <rPh sb="56" eb="57">
      <t>メイ</t>
    </rPh>
    <phoneticPr fontId="3"/>
  </si>
  <si>
    <t xml:space="preserve">・AI-04
</t>
    <phoneticPr fontId="3"/>
  </si>
  <si>
    <r>
      <t xml:space="preserve">本演習で作成するテーブル（仕様）の一覧は、以下であること説明する。
・products
・cart_items
・orders
・order_items
以下の仕様に従って実装する必要があることを伝える。
・テーブル名
・項目名
・SQL型（データ型）
・制約・形式
</t>
    </r>
    <r>
      <rPr>
        <sz val="9"/>
        <color rgb="FFFF0000"/>
        <rFont val="Meiryo UI"/>
        <family val="3"/>
        <charset val="128"/>
      </rPr>
      <t>※プロンプトに記載が必要。</t>
    </r>
    <rPh sb="17" eb="19">
      <t>イチラン</t>
    </rPh>
    <rPh sb="109" eb="110">
      <t>メイ</t>
    </rPh>
    <rPh sb="120" eb="121">
      <t>ガタ</t>
    </rPh>
    <rPh sb="125" eb="126">
      <t>ガタキサイヒツヨウ</t>
    </rPh>
    <phoneticPr fontId="3"/>
  </si>
  <si>
    <t xml:space="preserve">・AI-04
</t>
    <phoneticPr fontId="3"/>
  </si>
  <si>
    <r>
      <t xml:space="preserve">本演習で作成するproductsテーブルの初期データ（仕様）を説明する。
※imageUrlにはプロジェクト内のパスの一部
</t>
    </r>
    <r>
      <rPr>
        <sz val="9"/>
        <color rgb="FFFF0000"/>
        <rFont val="Meiryo UI"/>
        <family val="3"/>
        <charset val="128"/>
      </rPr>
      <t>※プロンプトに記載が必要。</t>
    </r>
    <rPh sb="21" eb="23">
      <t>ショキ</t>
    </rPh>
    <rPh sb="54" eb="55">
      <t>ナイ</t>
    </rPh>
    <rPh sb="59" eb="61">
      <t>イチブ</t>
    </rPh>
    <phoneticPr fontId="3"/>
  </si>
  <si>
    <t>本演習で利用するプロジェクトのディレクトリ構成を説明する。
※SpringBootで作成した。</t>
    <rPh sb="0" eb="1">
      <t>ホン</t>
    </rPh>
    <rPh sb="1" eb="3">
      <t>エンシュウ</t>
    </rPh>
    <rPh sb="4" eb="6">
      <t>リヨウ</t>
    </rPh>
    <rPh sb="21" eb="23">
      <t>コウセイ</t>
    </rPh>
    <rPh sb="24" eb="26">
      <t>セツメイ</t>
    </rPh>
    <rPh sb="42" eb="44">
      <t>サクセイ</t>
    </rPh>
    <phoneticPr fontId="3"/>
  </si>
  <si>
    <t>本演習で利用するプロジェクトのパッケージ構成（ファイル込み）を説明する。
※サンプルとして説明する。</t>
    <rPh sb="0" eb="1">
      <t>ホン</t>
    </rPh>
    <rPh sb="1" eb="3">
      <t>エンシュウ</t>
    </rPh>
    <rPh sb="4" eb="6">
      <t>リヨウ</t>
    </rPh>
    <rPh sb="20" eb="22">
      <t>コウセイ</t>
    </rPh>
    <rPh sb="27" eb="28">
      <t>コ</t>
    </rPh>
    <rPh sb="31" eb="33">
      <t>セツメイ</t>
    </rPh>
    <rPh sb="45" eb="47">
      <t>セツメイ</t>
    </rPh>
    <phoneticPr fontId="3"/>
  </si>
  <si>
    <t>本演習で利用するプロジェクトのリソース構成（ファイル込み）を説明する。
※サンプルとして説明する。</t>
    <rPh sb="0" eb="1">
      <t>ホン</t>
    </rPh>
    <rPh sb="1" eb="3">
      <t>エンシュウ</t>
    </rPh>
    <rPh sb="4" eb="6">
      <t>リヨウ</t>
    </rPh>
    <rPh sb="19" eb="21">
      <t>コウセイ</t>
    </rPh>
    <rPh sb="26" eb="27">
      <t>コ</t>
    </rPh>
    <rPh sb="30" eb="32">
      <t>セツメイ</t>
    </rPh>
    <rPh sb="44" eb="46">
      <t>セツメイ</t>
    </rPh>
    <phoneticPr fontId="3"/>
  </si>
  <si>
    <t>商品一覧画面（商品一覧表示機能）を一緒に作成することを説明する。</t>
    <rPh sb="7" eb="9">
      <t>ショウヒン</t>
    </rPh>
    <rPh sb="9" eb="11">
      <t>イチラン</t>
    </rPh>
    <rPh sb="11" eb="13">
      <t>ヒョウジ</t>
    </rPh>
    <rPh sb="13" eb="15">
      <t>キノウ</t>
    </rPh>
    <rPh sb="17" eb="19">
      <t>イッショ</t>
    </rPh>
    <rPh sb="20" eb="22">
      <t>サクセイ</t>
    </rPh>
    <rPh sb="27" eb="29">
      <t>セツメイ</t>
    </rPh>
    <phoneticPr fontId="3"/>
  </si>
  <si>
    <t xml:space="preserve">Webアプリケーションの構成要素を振り返る。
・処理系
　Controller、Service、Repository
・データ保持系
　Form
　Model
　Entity
　ViewModel（今回は使わない）
・画面
　Template
</t>
    <rPh sb="12" eb="14">
      <t>コウセイ</t>
    </rPh>
    <rPh sb="14" eb="16">
      <t>ヨウソ</t>
    </rPh>
    <rPh sb="17" eb="18">
      <t>フ</t>
    </rPh>
    <rPh sb="19" eb="20">
      <t>カエ</t>
    </rPh>
    <rPh sb="24" eb="26">
      <t>ショリ</t>
    </rPh>
    <rPh sb="26" eb="27">
      <t>ケイ</t>
    </rPh>
    <rPh sb="63" eb="65">
      <t>ホジ</t>
    </rPh>
    <rPh sb="65" eb="66">
      <t>ケイ</t>
    </rPh>
    <rPh sb="99" eb="101">
      <t>コンカイ</t>
    </rPh>
    <rPh sb="102" eb="103">
      <t>ツカ</t>
    </rPh>
    <phoneticPr fontId="3"/>
  </si>
  <si>
    <t xml:space="preserve">・AI-04
</t>
    <phoneticPr fontId="3"/>
  </si>
  <si>
    <r>
      <t xml:space="preserve">生成AIを利用して画面モックアップを作成する方法を説明する。
その後、実際にデモを行い、プロンプトの作成方法や活用方法を確認する。
</t>
    </r>
    <r>
      <rPr>
        <sz val="9"/>
        <color rgb="FFFF0000"/>
        <rFont val="Meiryo UI"/>
        <family val="3"/>
        <charset val="128"/>
      </rPr>
      <t>※テキスト内のプロンプトを利用して良い。</t>
    </r>
    <rPh sb="9" eb="11">
      <t>ガメン</t>
    </rPh>
    <rPh sb="71" eb="72">
      <t>ナイ</t>
    </rPh>
    <rPh sb="79" eb="81">
      <t>リヨウ</t>
    </rPh>
    <rPh sb="83" eb="84">
      <t>ヨ</t>
    </rPh>
    <phoneticPr fontId="3"/>
  </si>
  <si>
    <t>受講生に以下を実施してもらう。
1. プロンプトを作成する。
2. プロンプトを実行し、成果物を生成する。
3. 生成された成果物を確認し、要件を満たしているかを確認する。
4. 必要に応じてプロンプトを改善し、成果物をブラッシュアップする。</t>
    <rPh sb="0" eb="3">
      <t>ジュコウセイ</t>
    </rPh>
    <rPh sb="4" eb="6">
      <t>イカ</t>
    </rPh>
    <rPh sb="7" eb="9">
      <t>ジッシ</t>
    </rPh>
    <phoneticPr fontId="3"/>
  </si>
  <si>
    <r>
      <t xml:space="preserve">生成AIを利用してデータベースのテーブルを作成する方法を説明する。
その後、実際にデモを行い、プロンプトの作成方法や活用方法を確認する。
</t>
    </r>
    <r>
      <rPr>
        <sz val="9"/>
        <color rgb="FFFF0000"/>
        <rFont val="Meiryo UI"/>
        <family val="3"/>
        <charset val="128"/>
      </rPr>
      <t>※テキスト内のプロンプトを利用して良い。</t>
    </r>
    <phoneticPr fontId="3"/>
  </si>
  <si>
    <r>
      <t xml:space="preserve">生成AIを利用してデータベースのテーブルの初期データを作成する方法を説明する。
その後、実際にデモを行い、プロンプトの作成方法や活用方法を確認する。
</t>
    </r>
    <r>
      <rPr>
        <sz val="9"/>
        <color rgb="FFFF0000"/>
        <rFont val="Meiryo UI"/>
        <family val="3"/>
        <charset val="128"/>
      </rPr>
      <t>※テキスト内のプロンプトを利用して良い。</t>
    </r>
    <rPh sb="21" eb="23">
      <t>ショキ</t>
    </rPh>
    <phoneticPr fontId="3"/>
  </si>
  <si>
    <r>
      <t xml:space="preserve">生成AIを利用してデータベース処理（Repository関連）とビジネスロジック（Service関連）を作成する方法を説明する。
その後、実際にデモを行い、プロンプトの作成方法や活用方法を確認する。
</t>
    </r>
    <r>
      <rPr>
        <sz val="9"/>
        <color rgb="FFFF0000"/>
        <rFont val="Meiryo UI"/>
        <family val="3"/>
        <charset val="128"/>
      </rPr>
      <t>※テキスト内のプロンプトを利用して良い。</t>
    </r>
    <rPh sb="15" eb="17">
      <t>ショリ</t>
    </rPh>
    <rPh sb="48" eb="50">
      <t>カンレン</t>
    </rPh>
    <phoneticPr fontId="3"/>
  </si>
  <si>
    <t>以下の概要を説明する。
・Repository
・Mapper</t>
    <rPh sb="0" eb="2">
      <t>イカ</t>
    </rPh>
    <rPh sb="3" eb="5">
      <t>ガイヨウ</t>
    </rPh>
    <rPh sb="6" eb="8">
      <t>セツメイ</t>
    </rPh>
    <phoneticPr fontId="3"/>
  </si>
  <si>
    <t>以下の概要を説明する。
・Entity
・Model</t>
    <rPh sb="0" eb="2">
      <t>イカ</t>
    </rPh>
    <rPh sb="3" eb="5">
      <t>ガイヨウ</t>
    </rPh>
    <rPh sb="6" eb="8">
      <t>セツメイ</t>
    </rPh>
    <phoneticPr fontId="3"/>
  </si>
  <si>
    <t>以下の概要を説明する。
・Service</t>
    <rPh sb="0" eb="2">
      <t>イカ</t>
    </rPh>
    <rPh sb="3" eb="5">
      <t>ガイヨウ</t>
    </rPh>
    <rPh sb="6" eb="8">
      <t>セツメイ</t>
    </rPh>
    <phoneticPr fontId="3"/>
  </si>
  <si>
    <r>
      <t xml:space="preserve">生成AIを利用して画面（Template）と処理（Controler関連）を作成する方法を説明する。
その後、実際にデモを行い、プロンプトの作成方法や活用方法を確認する。
</t>
    </r>
    <r>
      <rPr>
        <sz val="9"/>
        <color rgb="FFFF0000"/>
        <rFont val="Meiryo UI"/>
        <family val="3"/>
        <charset val="128"/>
      </rPr>
      <t>※テキスト内のプロンプトを利用して良い。</t>
    </r>
    <rPh sb="9" eb="11">
      <t>ガメン</t>
    </rPh>
    <rPh sb="22" eb="24">
      <t>ショリ</t>
    </rPh>
    <rPh sb="34" eb="36">
      <t>カンレン</t>
    </rPh>
    <phoneticPr fontId="3"/>
  </si>
  <si>
    <t>以下の概要を説明する。
・Controller</t>
    <rPh sb="0" eb="2">
      <t>イカ</t>
    </rPh>
    <rPh sb="3" eb="5">
      <t>ガイヨウ</t>
    </rPh>
    <rPh sb="6" eb="8">
      <t>セツメイ</t>
    </rPh>
    <phoneticPr fontId="3"/>
  </si>
  <si>
    <t>以下の概要を説明する。
・Template</t>
    <rPh sb="0" eb="2">
      <t>イカ</t>
    </rPh>
    <rPh sb="3" eb="5">
      <t>ガイヨウ</t>
    </rPh>
    <rPh sb="6" eb="8">
      <t>セツメイ</t>
    </rPh>
    <phoneticPr fontId="3"/>
  </si>
  <si>
    <t>以下の概要を説明する。
・Form</t>
    <rPh sb="0" eb="2">
      <t>イカ</t>
    </rPh>
    <rPh sb="3" eb="5">
      <t>ガイヨウ</t>
    </rPh>
    <rPh sb="6" eb="8">
      <t>セツメイ</t>
    </rPh>
    <phoneticPr fontId="3"/>
  </si>
  <si>
    <t>プロジェクトを実行し、ブラウザで確認する。
1. ターミナルを開き、以下のコマンドを実行する。
　mvn spring-boot:run
2. ブラウザを開き、以下を入力する。
　http://localhost:8080</t>
    <phoneticPr fontId="3"/>
  </si>
  <si>
    <r>
      <t xml:space="preserve">受講生にアプリケーションの動作確認を実施してもらう。
</t>
    </r>
    <r>
      <rPr>
        <sz val="9"/>
        <color rgb="FFFF0000"/>
        <rFont val="Meiryo UI"/>
        <family val="3"/>
        <charset val="128"/>
      </rPr>
      <t>※既にアプリケーションが起動している場合は、ブラウザをリフレッシュするだけでよいことを伝える。
※アプリケーションを二重に起動するとポートが競合し、正常に起動できない場合があることを説明する。
※起動エラーが発生した場合、既存のアプリケーションを実行しているターミナルを停止し、再度起動することを伝える。</t>
    </r>
    <phoneticPr fontId="3"/>
  </si>
  <si>
    <t>本章では、以下の内容について説明することを伝える。
・バージョン管理
・Gitの概要</t>
    <rPh sb="0" eb="2">
      <t>ホンショウ</t>
    </rPh>
    <rPh sb="5" eb="7">
      <t>イカ</t>
    </rPh>
    <rPh sb="8" eb="10">
      <t>ナイヨウ</t>
    </rPh>
    <rPh sb="14" eb="16">
      <t>セツメイ</t>
    </rPh>
    <rPh sb="21" eb="22">
      <t>ツタ</t>
    </rPh>
    <phoneticPr fontId="3"/>
  </si>
  <si>
    <t xml:space="preserve">・AI-07
</t>
    <phoneticPr fontId="3"/>
  </si>
  <si>
    <t>バージョン管理とは、「ファイルの変更履歴を記録し、過去の状態を管理する仕組み」のこと。
バージョン管理の必要性について説明する。</t>
    <rPh sb="49" eb="51">
      <t>カンリ</t>
    </rPh>
    <rPh sb="52" eb="55">
      <t>ヒツヨウセイ</t>
    </rPh>
    <rPh sb="59" eb="61">
      <t>セツメイ</t>
    </rPh>
    <phoneticPr fontId="3"/>
  </si>
  <si>
    <t xml:space="preserve">・AI-07
</t>
    <phoneticPr fontId="3"/>
  </si>
  <si>
    <t>Gitと「バージョン管理を実現するためのツールであり、現在最も広く利用されている分散型バージョン管理システム」のこと。
Gitの主な特徴
・ファイルの変更履歴を記録できる。
・過去の状態に戻すことができる。
・変更内容の差分を確認できる。
・複数人で共同作業できる。
以下のキーワードについて説明する。
・中央集中型バージョン管理システム
・分散型バージョン管理システム</t>
    <phoneticPr fontId="3"/>
  </si>
  <si>
    <t xml:space="preserve">・AI-07
</t>
    <phoneticPr fontId="3"/>
  </si>
  <si>
    <t>本章では、以下の内容について説明することを伝える。
・ワーキングツリー
・ステージングエリア
・ローカルリポジトリ
・リモートリポジトリ</t>
    <rPh sb="0" eb="2">
      <t>ホンショウ</t>
    </rPh>
    <rPh sb="5" eb="7">
      <t>イカ</t>
    </rPh>
    <rPh sb="8" eb="10">
      <t>ナイヨウ</t>
    </rPh>
    <rPh sb="14" eb="16">
      <t>セツメイ</t>
    </rPh>
    <rPh sb="21" eb="22">
      <t>ツタ</t>
    </rPh>
    <phoneticPr fontId="3"/>
  </si>
  <si>
    <t xml:space="preserve">・AI-07
</t>
    <phoneticPr fontId="3"/>
  </si>
  <si>
    <t>ワーキングツリー（Working Tree）とは、「実際にファイルの変更（作成・更新・削除）を行う作業領域」のこと。
※この領域が起点となる。</t>
    <rPh sb="62" eb="64">
      <t>リョウイキ</t>
    </rPh>
    <rPh sb="65" eb="67">
      <t>キテン</t>
    </rPh>
    <phoneticPr fontId="3"/>
  </si>
  <si>
    <t>ステージングエリア（Staging Area）とは、「ワーキングツリーで行った変更内容を一時的に登録するための領域」のこと。</t>
    <phoneticPr fontId="3"/>
  </si>
  <si>
    <t>ローカルリポジトリ（Local Repository）とは、「コミットされた変更履歴やGitの管理情報を保存する領域」のこと。</t>
    <phoneticPr fontId="3"/>
  </si>
  <si>
    <t>リモートリポジトリ（Remote Repository）とは、「サーバー上で共有されるリポジトリ」のこと。
※チームで共有する変更履歴を保存し、複数のメンバーが同じ変更履歴を参照しながら共同で開発を進めるために利用される。</t>
    <phoneticPr fontId="3"/>
  </si>
  <si>
    <t>本章では、以下の内容について説明することを伝える。
・リポジトリの作成
・ファイルの変更
・変更内容の確認
・変更内容のステージ
・変更内容のコミット</t>
    <rPh sb="0" eb="2">
      <t>ホンショウ</t>
    </rPh>
    <rPh sb="5" eb="7">
      <t>イカ</t>
    </rPh>
    <rPh sb="8" eb="10">
      <t>ナイヨウ</t>
    </rPh>
    <rPh sb="14" eb="16">
      <t>セツメイ</t>
    </rPh>
    <rPh sb="21" eb="22">
      <t>ツタ</t>
    </rPh>
    <phoneticPr fontId="3"/>
  </si>
  <si>
    <t xml:space="preserve">・AI-07
</t>
    <phoneticPr fontId="3"/>
  </si>
  <si>
    <t>git init コマンドについて説明する。
※現在のディレクトリがGitリポジトリとして初期化され、ローカルリポジトリが作成される。</t>
    <rPh sb="17" eb="19">
      <t>セツメイ</t>
    </rPh>
    <phoneticPr fontId="3"/>
  </si>
  <si>
    <t xml:space="preserve">ワーキングツリーの操作（ファイルの変更）について説明する。
</t>
    <rPh sb="9" eb="11">
      <t>ソウサ</t>
    </rPh>
    <rPh sb="17" eb="19">
      <t>ヘンコウ</t>
    </rPh>
    <rPh sb="27" eb="29">
      <t>セツメイ</t>
    </rPh>
    <phoneticPr fontId="3"/>
  </si>
  <si>
    <t>git status コマンドについて説明する。
※ワーキングツリーとGitの管理情報との差異を確認でき、どのファイルが変更・追加・削除されているかを把握できる。</t>
    <rPh sb="19" eb="21">
      <t>セツメイ</t>
    </rPh>
    <phoneticPr fontId="3"/>
  </si>
  <si>
    <t>git add コマンドについて説明する。
※ワーキングツリーで行われた変更をステージングエリアに登録することができる。</t>
    <rPh sb="16" eb="18">
      <t>セツメイ</t>
    </rPh>
    <phoneticPr fontId="3"/>
  </si>
  <si>
    <t>git commit コマンドについて説明する。
※ステージングエリアにある変更内容がひとまとまりの変更履歴として保存され、リポジトリに反映される。</t>
    <rPh sb="19" eb="21">
      <t>セツメイ</t>
    </rPh>
    <phoneticPr fontId="3"/>
  </si>
  <si>
    <t>git restore コマンドについて説明する。
※指定したファイルの変更が取り消され、最後にコミットした状態へ戻る。</t>
    <rPh sb="20" eb="22">
      <t>セツメイ</t>
    </rPh>
    <phoneticPr fontId="3"/>
  </si>
  <si>
    <t>git restore --staged コマンドについて説明する。
※ステージングエリアに登録された変更内容が解除され、ワーキングツリーの変更として保持される。</t>
    <rPh sb="29" eb="31">
      <t>セツメイ</t>
    </rPh>
    <phoneticPr fontId="3"/>
  </si>
  <si>
    <t>git revert コマンドについて説明する。
※指定したコミットの変更内容を打ち消す新しい変更履歴を作成することができる。</t>
    <rPh sb="19" eb="21">
      <t>セツメイ</t>
    </rPh>
    <phoneticPr fontId="3"/>
  </si>
  <si>
    <t>本章では、以下の内容について説明することを伝える。
・リポジトリの取得
・リモートからの取得
・リモートからの取得と反映
・リモートへの反映</t>
    <rPh sb="0" eb="2">
      <t>ホンショウ</t>
    </rPh>
    <rPh sb="5" eb="7">
      <t>イカ</t>
    </rPh>
    <rPh sb="8" eb="10">
      <t>ナイヨウ</t>
    </rPh>
    <rPh sb="14" eb="16">
      <t>セツメイ</t>
    </rPh>
    <rPh sb="21" eb="22">
      <t>ツタ</t>
    </rPh>
    <rPh sb="33" eb="35">
      <t>シュトク</t>
    </rPh>
    <rPh sb="44" eb="46">
      <t>シュトク</t>
    </rPh>
    <rPh sb="55" eb="57">
      <t>シュトク</t>
    </rPh>
    <rPh sb="58" eb="60">
      <t>ハンエイ</t>
    </rPh>
    <rPh sb="68" eb="70">
      <t>ハンエイ</t>
    </rPh>
    <phoneticPr fontId="3"/>
  </si>
  <si>
    <t>※本研修ではリモートリポジトリは利用しません。</t>
    <phoneticPr fontId="3"/>
  </si>
  <si>
    <t>git clone コマンドについて説明する。
※リモートリポジトリの内容をローカル環境にコピーし、ローカルリポジトリとして利用することができる。</t>
    <rPh sb="18" eb="20">
      <t>セツメイ</t>
    </rPh>
    <phoneticPr fontId="3"/>
  </si>
  <si>
    <t>git fetch コマンドについて説明する。
※りモートリポジトリの変更内容をローカルリポジトリへ取得することができる。</t>
    <rPh sb="18" eb="20">
      <t>セツメイ</t>
    </rPh>
    <phoneticPr fontId="3"/>
  </si>
  <si>
    <t>git pull コマンドについて説明する。
※リモートリポジトリの変更内容を取得し、ローカルリポジトリへ反映することができる。</t>
    <rPh sb="17" eb="19">
      <t>セツメイ</t>
    </rPh>
    <phoneticPr fontId="3"/>
  </si>
  <si>
    <t>git push コマンドについて説明する。
※ローカルリポジトリにある変更履歴をリモートリポジトリへ送信し、共有することができる。</t>
    <rPh sb="17" eb="19">
      <t>セツメイ</t>
    </rPh>
    <phoneticPr fontId="3"/>
  </si>
  <si>
    <t>本章では、以下の内容について説明することを伝える。
・ブランチとは
・ブランチの作成
・ブランチの切り替え
・ブランチのマージ
・コンフリクトの解消</t>
    <rPh sb="0" eb="2">
      <t>ホンショウ</t>
    </rPh>
    <rPh sb="5" eb="7">
      <t>イカ</t>
    </rPh>
    <rPh sb="8" eb="10">
      <t>ナイヨウ</t>
    </rPh>
    <rPh sb="14" eb="16">
      <t>セツメイ</t>
    </rPh>
    <rPh sb="21" eb="22">
      <t>ツタ</t>
    </rPh>
    <rPh sb="40" eb="42">
      <t>サクセイ</t>
    </rPh>
    <rPh sb="49" eb="50">
      <t>キ</t>
    </rPh>
    <rPh sb="51" eb="52">
      <t>カ</t>
    </rPh>
    <rPh sb="72" eb="74">
      <t>カイショウ</t>
    </rPh>
    <phoneticPr fontId="3"/>
  </si>
  <si>
    <t>※本研修ではブランチの利用は任意です。</t>
    <rPh sb="11" eb="13">
      <t>リヨウ</t>
    </rPh>
    <rPh sb="14" eb="16">
      <t>ニンイ</t>
    </rPh>
    <phoneticPr fontId="3"/>
  </si>
  <si>
    <t>ブランチとは、「Gitにおいて変更履歴の流れを分岐させる仕組み」のこと。
メインの開発ラインから独立した変更履歴の流れを作成し、他の作業に影響を与えずに変更を行うことができる。</t>
    <phoneticPr fontId="3"/>
  </si>
  <si>
    <t>git branch コマンドについて説明する。
※新しいブランチを作成し、既存のブランチとは独立した作業の準備を行うことができる。</t>
    <rPh sb="19" eb="21">
      <t>セツメイ</t>
    </rPh>
    <phoneticPr fontId="3"/>
  </si>
  <si>
    <t>git switch コマンドについて説明する。
※作業中のブランチを別のブランチへ切り替えることができる。</t>
    <rPh sb="19" eb="21">
      <t>セツメイ</t>
    </rPh>
    <phoneticPr fontId="3"/>
  </si>
  <si>
    <t>git merge コマンドについて説明する。
※作業中のブランチに指定したブランチの変更履歴を取り込み、統合することができる。</t>
    <rPh sb="18" eb="20">
      <t>セツメイ</t>
    </rPh>
    <phoneticPr fontId="3"/>
  </si>
  <si>
    <t xml:space="preserve">コンフリクトとは、「どちらの変更を採用すべきか自動的に判断できない状態」のこと。
コンフリクトの解決手順を説明する。
1. 競合箇所を確認
2. 競合箇所を修正
3. 修正した変更内容をステージ
4. 修正した変更内容をコミット
</t>
    <rPh sb="33" eb="35">
      <t>ジョウタイ</t>
    </rPh>
    <rPh sb="49" eb="51">
      <t>カイケツ</t>
    </rPh>
    <rPh sb="51" eb="53">
      <t>テジュン</t>
    </rPh>
    <rPh sb="54" eb="56">
      <t>セツメイ</t>
    </rPh>
    <rPh sb="85" eb="87">
      <t>シュウセイ</t>
    </rPh>
    <rPh sb="89" eb="91">
      <t>ヘンコウ</t>
    </rPh>
    <phoneticPr fontId="3"/>
  </si>
  <si>
    <t xml:space="preserve">・AI-07
</t>
    <phoneticPr fontId="3"/>
  </si>
  <si>
    <t>本章では、以下の内容について説明することを伝える。
・VS Codeのソース管理機能
ローカルリポジトリの操作（VS Code）	
リモートリポジトリの操作（VS Code）
ブランチの操作（VS Code）</t>
    <phoneticPr fontId="3"/>
  </si>
  <si>
    <t>VS Codeでは、Gitの操作を「ソース管理」機能から行うことを伝える。</t>
    <phoneticPr fontId="3"/>
  </si>
  <si>
    <t xml:space="preserve">・AI-07
</t>
    <phoneticPr fontId="3"/>
  </si>
  <si>
    <r>
      <t xml:space="preserve">以下の手順を簡単に説明する。
・リポジトリの作成
・ファイルの変更
・変更内容の確認
・変更内容のステージ
・変更内容のコミット
</t>
    </r>
    <r>
      <rPr>
        <sz val="9"/>
        <color rgb="FFFF0000"/>
        <rFont val="Meiryo UI"/>
        <family val="3"/>
        <charset val="128"/>
      </rPr>
      <t>※本項目は演習で実施する内容です。
　受講者が利用方法に困った場合は、本資料を参照するよう案内してください。</t>
    </r>
    <rPh sb="0" eb="2">
      <t>イカ</t>
    </rPh>
    <rPh sb="3" eb="5">
      <t>テジュン</t>
    </rPh>
    <rPh sb="6" eb="8">
      <t>カンタン</t>
    </rPh>
    <rPh sb="9" eb="11">
      <t>セツメイ</t>
    </rPh>
    <rPh sb="31" eb="33">
      <t>ヘンコウ</t>
    </rPh>
    <rPh sb="35" eb="39">
      <t>ヘンコウナイヨウ</t>
    </rPh>
    <rPh sb="40" eb="42">
      <t>カクニン</t>
    </rPh>
    <phoneticPr fontId="3"/>
  </si>
  <si>
    <t xml:space="preserve">・AI-07
</t>
    <phoneticPr fontId="3"/>
  </si>
  <si>
    <t>以下の手順を簡単に説明する。
・リポジトリの取得
・リモートからの取得と反映
・リモートへの反映</t>
    <rPh sb="6" eb="8">
      <t>カンタン</t>
    </rPh>
    <rPh sb="22" eb="24">
      <t>シュトク</t>
    </rPh>
    <rPh sb="33" eb="35">
      <t>シュトク</t>
    </rPh>
    <rPh sb="36" eb="38">
      <t>ハンエイ</t>
    </rPh>
    <phoneticPr fontId="3"/>
  </si>
  <si>
    <t xml:space="preserve">・AI-07
</t>
    <phoneticPr fontId="3"/>
  </si>
  <si>
    <r>
      <t xml:space="preserve">以下の手順を簡単に説明する。
・ブランチの作成
・ブランチの切り替え
・ブランチのマージ
・コンフリクトの解消
</t>
    </r>
    <r>
      <rPr>
        <sz val="9"/>
        <color rgb="FFFF0000"/>
        <rFont val="Meiryo UI"/>
        <family val="3"/>
        <charset val="128"/>
      </rPr>
      <t>※本項目は演習で実施する内容です。
　受講者が利用方法に困った場合は、本資料を参照するよう案内してください。</t>
    </r>
    <rPh sb="6" eb="8">
      <t>カンタン</t>
    </rPh>
    <rPh sb="21" eb="23">
      <t>サクセイ</t>
    </rPh>
    <rPh sb="30" eb="31">
      <t>キ</t>
    </rPh>
    <rPh sb="32" eb="33">
      <t>カ</t>
    </rPh>
    <rPh sb="53" eb="55">
      <t>カイショウ</t>
    </rPh>
    <phoneticPr fontId="3"/>
  </si>
  <si>
    <t xml:space="preserve">・AI-07
</t>
    <phoneticPr fontId="3"/>
  </si>
  <si>
    <t>※本研修ではブランチの利用は任意です。</t>
    <phoneticPr fontId="3"/>
  </si>
  <si>
    <t xml:space="preserve">・AI-08
</t>
    <phoneticPr fontId="3"/>
  </si>
  <si>
    <t>演習の全体構成について説明する。
・VS Codeによるローカルリポジトリの操作
・VS Codeによるブランチの操作</t>
    <rPh sb="0" eb="2">
      <t>エンシュウ</t>
    </rPh>
    <rPh sb="3" eb="5">
      <t>ゼンタイ</t>
    </rPh>
    <rPh sb="5" eb="7">
      <t>コウセイ</t>
    </rPh>
    <phoneticPr fontId="3"/>
  </si>
  <si>
    <t xml:space="preserve">・AI-08
</t>
    <phoneticPr fontId="3"/>
  </si>
  <si>
    <t>演習で利用するソフトウェアについて説明する。
・VS Code（拡張機能を含む）
・Git</t>
    <rPh sb="0" eb="2">
      <t>エンシュウ</t>
    </rPh>
    <rPh sb="3" eb="5">
      <t>リヨウ</t>
    </rPh>
    <phoneticPr fontId="3"/>
  </si>
  <si>
    <t>※基本的にGitコマンドを直接使うことはありません。</t>
    <rPh sb="1" eb="4">
      <t>キホンテキ</t>
    </rPh>
    <rPh sb="13" eb="15">
      <t>チョクセツ</t>
    </rPh>
    <rPh sb="15" eb="16">
      <t>ツカ</t>
    </rPh>
    <phoneticPr fontId="3"/>
  </si>
  <si>
    <r>
      <t xml:space="preserve">本演習の全体像について説明する。
■概要
ローカルリポジトリの操作
■詳細
1. VS Codeによるリポジトリの作成
2. VS Codeによる変更内容の確認
3. VS Codeによる変更内容のステージング
4. VS Codeによる変更内容のコミット
■事前準備
実施手順に従い、演習を実施することを説明する。
</t>
    </r>
    <r>
      <rPr>
        <sz val="9"/>
        <color rgb="FFFF0000"/>
        <rFont val="Meiryo UI"/>
        <family val="3"/>
        <charset val="128"/>
      </rPr>
      <t>※ハンズオンとして実施する。</t>
    </r>
    <rPh sb="0" eb="1">
      <t>ホン</t>
    </rPh>
    <rPh sb="11" eb="13">
      <t>セツメイ</t>
    </rPh>
    <rPh sb="18" eb="20">
      <t>ガイヨウ</t>
    </rPh>
    <rPh sb="31" eb="33">
      <t>ソウサ</t>
    </rPh>
    <rPh sb="36" eb="38">
      <t>ショウサイ</t>
    </rPh>
    <rPh sb="132" eb="136">
      <t>ジゼンジュンビ</t>
    </rPh>
    <phoneticPr fontId="3"/>
  </si>
  <si>
    <t xml:space="preserve">・AI-08
</t>
    <phoneticPr fontId="3"/>
  </si>
  <si>
    <r>
      <t xml:space="preserve">実施手順に従い、演習を実施することを説明する。
</t>
    </r>
    <r>
      <rPr>
        <sz val="9"/>
        <color rgb="FFFF0000"/>
        <rFont val="Meiryo UI"/>
        <family val="3"/>
        <charset val="128"/>
      </rPr>
      <t>※ハンズオンとして実施する。</t>
    </r>
    <rPh sb="0" eb="2">
      <t>ジッシ</t>
    </rPh>
    <rPh sb="2" eb="4">
      <t>テジュン</t>
    </rPh>
    <rPh sb="5" eb="6">
      <t>シタガ</t>
    </rPh>
    <rPh sb="8" eb="10">
      <t>エンシュウ</t>
    </rPh>
    <rPh sb="11" eb="13">
      <t>ジッシ</t>
    </rPh>
    <rPh sb="18" eb="20">
      <t>セツメイ</t>
    </rPh>
    <phoneticPr fontId="3"/>
  </si>
  <si>
    <t xml:space="preserve">・AI-08
</t>
    <phoneticPr fontId="3"/>
  </si>
  <si>
    <r>
      <t xml:space="preserve">本演習の全体像について説明する。
■概要
ブランチの操作
■詳細
1. VS Codeによるブランチの作成
2.　VS Codeによるブランチの切り替え
3.　VS Codeによるブランチのマージ
■事前準備
実施手順に従い、演習を実施することを説明する。
</t>
    </r>
    <r>
      <rPr>
        <sz val="9"/>
        <color rgb="FFFF0000"/>
        <rFont val="Meiryo UI"/>
        <family val="3"/>
        <charset val="128"/>
      </rPr>
      <t>※ハンズオンとして実施する。</t>
    </r>
    <rPh sb="0" eb="1">
      <t>ホン</t>
    </rPh>
    <rPh sb="11" eb="13">
      <t>セツメイ</t>
    </rPh>
    <rPh sb="18" eb="20">
      <t>ガイヨウ</t>
    </rPh>
    <rPh sb="26" eb="28">
      <t>ソウサ</t>
    </rPh>
    <rPh sb="31" eb="33">
      <t>ショウサイ</t>
    </rPh>
    <rPh sb="102" eb="106">
      <t>ジゼンジュンビ</t>
    </rPh>
    <phoneticPr fontId="3"/>
  </si>
  <si>
    <t xml:space="preserve">・AI-08
</t>
    <phoneticPr fontId="3"/>
  </si>
  <si>
    <t>以下を伝える。
・作成順
　1. 商品詳細画面:今作った
　2. カート画面
　3. 注文確認画面
　4. 注文完了画面
・作成の進め方
　1. 仕様を満たすプロンプトを検討する。
　2. プロンプトを実行する。
作成後には仕様をみたしているかを確認する。
　1. 仕様を確認する。
　2. プロンプトを作成する。
　3. プロンプトを実行し、成果物を生成する。
　4. 生成された成果物を確認し、要件を満たしているかを確認する。
　5. 必要に応じてプロンプトを改善し、成果物をブラッシュアップ(仕様を満たす)する。</t>
    <rPh sb="0" eb="2">
      <t>イカ</t>
    </rPh>
    <rPh sb="3" eb="4">
      <t>ツタ</t>
    </rPh>
    <rPh sb="9" eb="11">
      <t>サクセイ</t>
    </rPh>
    <rPh sb="11" eb="12">
      <t>ジュン</t>
    </rPh>
    <rPh sb="24" eb="25">
      <t>イマ</t>
    </rPh>
    <rPh sb="25" eb="26">
      <t>ツク</t>
    </rPh>
    <rPh sb="63" eb="65">
      <t>サクセイ</t>
    </rPh>
    <rPh sb="66" eb="67">
      <t>スス</t>
    </rPh>
    <rPh sb="68" eb="69">
      <t>カタシヨウ</t>
    </rPh>
    <rPh sb="75" eb="76">
      <t>ミ</t>
    </rPh>
    <rPh sb="84" eb="86">
      <t>ケントウサクセイ</t>
    </rPh>
    <rPh sb="108" eb="109">
      <t>ゴ</t>
    </rPh>
    <rPh sb="111" eb="113">
      <t>シヨウ</t>
    </rPh>
    <rPh sb="122" eb="123">
      <t>カク</t>
    </rPh>
    <rPh sb="134" eb="136">
      <t>シヨウ</t>
    </rPh>
    <rPh sb="137" eb="139">
      <t>カクニン</t>
    </rPh>
    <rPh sb="250" eb="252">
      <t>シヨウ</t>
    </rPh>
    <rPh sb="253" eb="254">
      <t>ミ</t>
    </rPh>
    <phoneticPr fontId="3"/>
  </si>
  <si>
    <t>〇</t>
    <phoneticPr fontId="3"/>
  </si>
  <si>
    <t>ー</t>
    <phoneticPr fontId="3"/>
  </si>
  <si>
    <t>以下を学習することを説明する。
・テストの目的を理解する
・単体テストの手法を理解する</t>
    <rPh sb="0" eb="2">
      <t>イカ</t>
    </rPh>
    <rPh sb="3" eb="5">
      <t>ガクシュウ</t>
    </rPh>
    <rPh sb="10" eb="12">
      <t>セツメイ</t>
    </rPh>
    <phoneticPr fontId="3"/>
  </si>
  <si>
    <t xml:space="preserve">・AI-03
</t>
    <phoneticPr fontId="3"/>
  </si>
  <si>
    <t xml:space="preserve">・AI-03
</t>
    <phoneticPr fontId="3"/>
  </si>
  <si>
    <t>右側を学習することを説明する。</t>
    <rPh sb="0" eb="2">
      <t>ミギガワ</t>
    </rPh>
    <rPh sb="3" eb="5">
      <t>ガクシュウ</t>
    </rPh>
    <rPh sb="10" eb="12">
      <t>セツメイ</t>
    </rPh>
    <phoneticPr fontId="3"/>
  </si>
  <si>
    <t xml:space="preserve">テストとは、「テストとは、開発したシステムが要件どおりに動作することを確認し、要件との差異や欠陥（バグ）を発見するための作業」のこと。
※テストは欠陥が存在することは示せるが、欠陥が存在しないことは証明できない。
</t>
    <phoneticPr fontId="3"/>
  </si>
  <si>
    <t>JSTQBでは、以下の9つの目的を挙げている。
・要件、ユーザーストーリー、設計、コードなどの作業成果物を評価する
　→　成果物の品質や妥当性を確認する。
・故障を引き起こし、欠陥を発見する
　→　システムに潜む不具合や問題点を見つける。
・求められるテスト対象のカバレッジ（網羅率）を確保する
　→　必要な範囲が十分にテストされていることを確認する。
・ソフトウェア品質が不十分な場合のリスクレベルを下げる
　→　本番運用時の障害や損失の発生リスクを軽減する。
・仕様化した要件が満たされているかどうかを検証する
　→　システムが要件どおりに実装されていることを確認する。
・テスト対象が契約、法律、規制の要件に適合していることを検証する
　→　契約事項や法令・規制を満たしていることを確認する。
・ステークホルダーに根拠ある判断をしてもらうための情報を提供する
　→　リリース可否や品質評価の判断材料を提供する。
・テスト対象の品質に対する信頼を積み上げる
　→　テスト結果を通じて品質への信頼を高める。
・テスト対象が完成し、ステークホルダーの期待通りに動作するかどうかの妥当性確認をする
　→　利用者や関係者の期待に沿ったシステムであることを確認する。
要約すると以下となる（楕円）。
開発したシステムを検証・評価して欠陥を発見し、リスクを低減するとともに品質を向上させる。
また、その結果をステークホルダーに提供し、リリース判断を支援するとともに品質への信頼を高める。</t>
    <rPh sb="533" eb="535">
      <t>ヨウヤク</t>
    </rPh>
    <rPh sb="538" eb="540">
      <t>イカ</t>
    </rPh>
    <rPh sb="544" eb="546">
      <t>ダエン</t>
    </rPh>
    <phoneticPr fontId="3"/>
  </si>
  <si>
    <t xml:space="preserve">・AI-03
</t>
    <phoneticPr fontId="3"/>
  </si>
  <si>
    <t>テストの目的をフェーズに対応するように説明する。</t>
    <rPh sb="4" eb="6">
      <t>モクテキ</t>
    </rPh>
    <rPh sb="12" eb="14">
      <t>タイオウ</t>
    </rPh>
    <rPh sb="19" eb="21">
      <t>セツメイ</t>
    </rPh>
    <phoneticPr fontId="3"/>
  </si>
  <si>
    <t>テストとデバッグの違いを説明する。
テスト：テスト対象を実行・評価し、要件との差異や欠陥（バグ）を発見するプロセス
デバッグ：テストなどで発見された欠陥（バグ）の原因を特定し、修正するプロセス
※要約は以下
テスト　=　問題を見つける活動
デバッグ　=　問題を直す活動</t>
    <rPh sb="9" eb="10">
      <t>チガ</t>
    </rPh>
    <rPh sb="12" eb="14">
      <t>セツメイ</t>
    </rPh>
    <rPh sb="99" eb="101">
      <t>ヨウヤク</t>
    </rPh>
    <rPh sb="102" eb="104">
      <t>イカ</t>
    </rPh>
    <phoneticPr fontId="3"/>
  </si>
  <si>
    <t xml:space="preserve">・AI-03
</t>
    <phoneticPr fontId="3"/>
  </si>
  <si>
    <t>単体テストとは、「プログラムの最小単位が正しく動作することを確認するテスト」のこと。
ユニット＝単体</t>
    <rPh sb="48" eb="50">
      <t>タンタイ</t>
    </rPh>
    <phoneticPr fontId="3"/>
  </si>
  <si>
    <t>テスト設計の全体像を説明する。
手順
1. テスト観点のテーラリング（カスタマイズ）
　テスト観点（標準）からテスト観点（カスタマイズ）にテーラリングする。
　■テスト観点（標準）
　　テスト対象をどのような視点で確認するかを定義したもの。
　　※標準的なテスト観点表を用いることで、テストの網羅性を確保する。
　■テスト観点（カスタマイズ）
　　テスト観点（標準）をベースに、対象システムの特性や要件に合わせてテーラリング（変更・削除・追加）を行ったテスト観点表のこと。
　　※テスト観点（標準）は、あらゆるシステムに共通して利用できるよう作成されているため、そのまま適用できるとは限らない。
2. テスト項目の洗い出し
　テスト観点（カスタマイズ）とインプットを掛け合わせて、網羅的なテスト項目を洗い出す。
　■インプット
　　前段の工程で作成された成果物のこと。
3. テストケースの作成
  テスト項目を実際に実施できるレベルまで具体化する。
　■テストケース
　　テスト項目に対して、具体的な入力値や期待結果を定義したもの。</t>
    <rPh sb="3" eb="5">
      <t>セッケイ</t>
    </rPh>
    <rPh sb="6" eb="9">
      <t>ゼンタイゾウ</t>
    </rPh>
    <rPh sb="10" eb="12">
      <t>セツメイ</t>
    </rPh>
    <rPh sb="17" eb="19">
      <t>テジュン</t>
    </rPh>
    <rPh sb="48" eb="50">
      <t>カンテン</t>
    </rPh>
    <rPh sb="51" eb="53">
      <t>ヒョウジュン</t>
    </rPh>
    <rPh sb="59" eb="61">
      <t>カンテン</t>
    </rPh>
    <rPh sb="85" eb="87">
      <t>カンテン</t>
    </rPh>
    <rPh sb="88" eb="90">
      <t>ヒョウジュン</t>
    </rPh>
    <rPh sb="114" eb="116">
      <t>テイギ</t>
    </rPh>
    <rPh sb="247" eb="249">
      <t>ヒョウジュン</t>
    </rPh>
    <rPh sb="368" eb="370">
      <t>ゼンダン</t>
    </rPh>
    <phoneticPr fontId="3"/>
  </si>
  <si>
    <t xml:space="preserve">・AI-03
</t>
    <phoneticPr fontId="3"/>
  </si>
  <si>
    <t>ツアー予約アプリケーションを例に全体を説明する。
※角丸の四角は業務ルール</t>
    <rPh sb="14" eb="15">
      <t>レイ</t>
    </rPh>
    <rPh sb="16" eb="18">
      <t>ゼンタイ</t>
    </rPh>
    <rPh sb="19" eb="21">
      <t>セツメイ</t>
    </rPh>
    <rPh sb="26" eb="27">
      <t>カド</t>
    </rPh>
    <rPh sb="27" eb="28">
      <t>マル</t>
    </rPh>
    <rPh sb="29" eb="31">
      <t>シカク</t>
    </rPh>
    <rPh sb="32" eb="34">
      <t>ギョウム</t>
    </rPh>
    <phoneticPr fontId="3"/>
  </si>
  <si>
    <t xml:space="preserve">・AI-03
</t>
    <phoneticPr fontId="3"/>
  </si>
  <si>
    <t>テスト技法とは、「効率的かつ効果的にテストケースを作成するための手法」のこと。
・ブラックボックステスト技法
・ホワイトボックステスト技法
・経験ベースのテスト技法</t>
    <phoneticPr fontId="3"/>
  </si>
  <si>
    <t xml:space="preserve">・AI-03
</t>
    <phoneticPr fontId="3"/>
  </si>
  <si>
    <t>ブラックボックステスト技法とは、「テスト対象の内部構造や実装内容を考慮せず、入力に対する出力や振る舞いを検証するテスト技法」のこと。
■種類
　・同値分割法
　・境界値分析
　・ディシジョンテーブルテスト
　・状態遷移テスト</t>
    <phoneticPr fontId="3"/>
  </si>
  <si>
    <t xml:space="preserve">・AI-03
</t>
    <phoneticPr fontId="3"/>
  </si>
  <si>
    <t>同値分割法とは、「同じ結果となる入力値をグループ化し、その代表値を用いて効率的にテストケースを作成する技法」のこと。
同値クラス：テスト対象において同じように処理される入力値のグループ
代表値：同値クラスを代表してテストに使用する値
「開始日」の例で説明する。
■同値クラスの分割
・無効値：過去
・有効値A：未来（早期割なし）
・有効値B：未来（早期割あり）
■代表値の選定
真ん中の日付
代表値を使用した、テストケースを作成する。</t>
    <rPh sb="59" eb="61">
      <t>ドウチ</t>
    </rPh>
    <rPh sb="93" eb="95">
      <t>ダイヒョウ</t>
    </rPh>
    <rPh sb="95" eb="96">
      <t>アタイ</t>
    </rPh>
    <rPh sb="97" eb="99">
      <t>ドウチ</t>
    </rPh>
    <rPh sb="126" eb="128">
      <t>セツメイ</t>
    </rPh>
    <rPh sb="133" eb="135">
      <t>ドウチ</t>
    </rPh>
    <rPh sb="139" eb="141">
      <t>ブンカツ</t>
    </rPh>
    <rPh sb="151" eb="153">
      <t>ユウコウ</t>
    </rPh>
    <rPh sb="153" eb="154">
      <t>アタイ</t>
    </rPh>
    <rPh sb="156" eb="158">
      <t>ミライ</t>
    </rPh>
    <rPh sb="184" eb="186">
      <t>ダイヒョウ</t>
    </rPh>
    <rPh sb="186" eb="187">
      <t>アタイ</t>
    </rPh>
    <rPh sb="188" eb="190">
      <t>センテイ</t>
    </rPh>
    <rPh sb="191" eb="192">
      <t>マ</t>
    </rPh>
    <rPh sb="193" eb="194">
      <t>ナカ</t>
    </rPh>
    <rPh sb="195" eb="197">
      <t>ヒヅケ</t>
    </rPh>
    <rPh sb="199" eb="202">
      <t>ダイヒョウアタイ</t>
    </rPh>
    <rPh sb="203" eb="205">
      <t>シヨウ</t>
    </rPh>
    <rPh sb="215" eb="217">
      <t>サクセイ</t>
    </rPh>
    <phoneticPr fontId="3"/>
  </si>
  <si>
    <t xml:space="preserve">・AI-03
</t>
    <phoneticPr fontId="3"/>
  </si>
  <si>
    <t>境界値分析とは、「同値クラスの境界値（範囲の端にある値）に着目し、テストケースを作成する技法」のこと。
「開始日」の例で説明する。
■境界値の選定
・無効値と有効値A
・有効値Aと有効値B
境界値を使用した、テストケースを作成する。</t>
    <rPh sb="68" eb="71">
      <t>キョウカイチ</t>
    </rPh>
    <rPh sb="72" eb="74">
      <t>センテイ</t>
    </rPh>
    <rPh sb="97" eb="100">
      <t>キョウカイチ</t>
    </rPh>
    <rPh sb="101" eb="103">
      <t>シヨウ</t>
    </rPh>
    <phoneticPr fontId="3"/>
  </si>
  <si>
    <t>ディシジョンテーブルテストとは、「ディシジョンテーブル（条件と動作の組み合わせ表）を用いて、複数の条件の組み合わせに対する動作をテストする技法」のこと。
ツアー予約の例で説明する。
■条件
・開始日
・人数
・空き数
■動作
・予約完了
・予約不可
これらの組み合わせを使用した、テストケースを作成する。</t>
    <rPh sb="81" eb="83">
      <t>ヨヤク</t>
    </rPh>
    <rPh sb="84" eb="85">
      <t>レイ</t>
    </rPh>
    <rPh sb="86" eb="88">
      <t>セツメイ</t>
    </rPh>
    <rPh sb="93" eb="95">
      <t>ジョウケン</t>
    </rPh>
    <rPh sb="97" eb="100">
      <t>カイシビ</t>
    </rPh>
    <rPh sb="102" eb="104">
      <t>ニンズウ</t>
    </rPh>
    <rPh sb="106" eb="107">
      <t>ア</t>
    </rPh>
    <rPh sb="108" eb="109">
      <t>スウ</t>
    </rPh>
    <rPh sb="111" eb="113">
      <t>ドウサ</t>
    </rPh>
    <rPh sb="115" eb="117">
      <t>ヨヤク</t>
    </rPh>
    <rPh sb="117" eb="119">
      <t>カンリョウ</t>
    </rPh>
    <rPh sb="121" eb="123">
      <t>ヨヤク</t>
    </rPh>
    <rPh sb="123" eb="125">
      <t>フカ</t>
    </rPh>
    <rPh sb="131" eb="132">
      <t>ク</t>
    </rPh>
    <rPh sb="133" eb="134">
      <t>ア</t>
    </rPh>
    <rPh sb="137" eb="139">
      <t>シヨウ</t>
    </rPh>
    <rPh sb="149" eb="151">
      <t>サクセイ</t>
    </rPh>
    <phoneticPr fontId="3"/>
  </si>
  <si>
    <t xml:space="preserve">・AI-03
</t>
    <phoneticPr fontId="3"/>
  </si>
  <si>
    <t>状態遷移テスト、「システムの状態と状態間の遷移を基にテストケースを作成する技法」のこと。
※遷移前状態、イベント、遷移後状態の関係を状態遷移図や状態遷移表で整理し、テスト項目を作成する。</t>
    <phoneticPr fontId="3"/>
  </si>
  <si>
    <t>ホワイトボックステスト技法とは、「テスト対象の内部構造に基づいてテストケースを作成し、プログラムの処理経路を検証するテスト技法」のこと。
■種類
　・ステートメントテスト
　・ブランチテスト</t>
    <phoneticPr fontId="3"/>
  </si>
  <si>
    <t xml:space="preserve">・AI-03
</t>
    <phoneticPr fontId="3"/>
  </si>
  <si>
    <t>コードカバレッジとは、「テスト対象範囲において、実施したテストによってプログラムコードのどの程度が実行されたかを示す指標」のこと。
ホワイトボックステストにおいて、テストの網羅性を評価するための基準として利用される。
■主なカバレッジ基準
　・命令網羅（C0）
　　全ての命令を最低1回は実行する
　・分岐網羅（C1）
　　全ての分岐の結果（True/False）を最低1回は実行する
　・条件網羅（C2）
　　条件式を構成する各条件が、TrueとFalseの両方になるように実行する</t>
    <phoneticPr fontId="3"/>
  </si>
  <si>
    <t xml:space="preserve">・AI-03
</t>
    <phoneticPr fontId="3"/>
  </si>
  <si>
    <t>ステートメントテストとは、「命令網羅（C0）の達成を目的として、全てのステートメント（命令文）が少なくとも1回実行されるようにテストケースを作成する技法」のこと。</t>
    <phoneticPr fontId="3"/>
  </si>
  <si>
    <t>ブランチテストとは、「分岐網羅（C1）の達成を目的として、全ての分岐の結果（True/False）が少なくとも1回実行されるようにテストケースを作成する技法」のこと。</t>
    <phoneticPr fontId="3"/>
  </si>
  <si>
    <t>コンディションテストとは、「条件網羅（C2）の達成を目的として、条件式を構成する全ての条件がTrueとFalseの両方になるようにテストケースを作成する技法」のこと。</t>
    <phoneticPr fontId="3"/>
  </si>
  <si>
    <t>経験ベースの技法とは、「テスト担当者の知識や経験を基に、テストケースを作成する技法」のこと。
※過去の障害事例や経験を活用することで、潜在的な欠陥を効率的に発見できる。
■種類
　・エラー推測
　・探索的テスト
　・チェックリストベースドテスト</t>
    <phoneticPr fontId="3"/>
  </si>
  <si>
    <t>スタブとドライバの違いを説明する。
・ドライバ
　テスト対象（被テストモジュール）を呼び出すために使用する模倣オブジェクト。上位モジュールの代わりとなり、テスト対象を制御する。
・スタブ
　テスト対象から呼び出される下位モジュールの代わりに使用する模倣オブジェクト。固定の戻り値などを返してテストを支援する。</t>
    <rPh sb="9" eb="10">
      <t>チガ</t>
    </rPh>
    <rPh sb="12" eb="14">
      <t>セツメイ</t>
    </rPh>
    <phoneticPr fontId="3"/>
  </si>
  <si>
    <t xml:space="preserve">スタブとモックの違いを説明する。
・スタブ
　テスト対象が依存する下位モジュールの代わりとなり、固定の値を返す模倣オブジェクト。
・モック
　テスト対象の振る舞いを検証するために、呼び出し内容や回数などを確認できる模倣オブジェクト。
</t>
    <rPh sb="8" eb="9">
      <t>チガ</t>
    </rPh>
    <rPh sb="11" eb="13">
      <t>セツメイ</t>
    </rPh>
    <phoneticPr fontId="3"/>
  </si>
  <si>
    <t>JUnitとは、「Javaプログラミング言語向けの標準的な単体テストフレームワーク」のこと。
テストコードを作成して実行することで、繰り返し実行可能なテストを効率的に行うことができる。</t>
    <phoneticPr fontId="3"/>
  </si>
  <si>
    <t>続き</t>
    <rPh sb="0" eb="1">
      <t>ツヅ</t>
    </rPh>
    <phoneticPr fontId="3"/>
  </si>
  <si>
    <t>課題2について説明する。</t>
    <phoneticPr fontId="3"/>
  </si>
  <si>
    <t xml:space="preserve">・AI-05
</t>
    <phoneticPr fontId="3"/>
  </si>
  <si>
    <t>Webアプリケーションの構成要素を振り返る。
・処理系
　Controller、Service、Repository
・データ保持系
　Form
　Model
　Entity
　ViewModel（今回は使わない）
・画面
　Template</t>
    <phoneticPr fontId="3"/>
  </si>
  <si>
    <t xml:space="preserve">・AI-05
</t>
    <phoneticPr fontId="3"/>
  </si>
  <si>
    <t>単体テストの対象の構成要素を説明する。
・処理系
　Controller、Service、Repository</t>
    <rPh sb="0" eb="2">
      <t>タンタイ</t>
    </rPh>
    <rPh sb="6" eb="8">
      <t>タイショウ</t>
    </rPh>
    <rPh sb="9" eb="11">
      <t>コウセイ</t>
    </rPh>
    <rPh sb="11" eb="13">
      <t>ヨウソ</t>
    </rPh>
    <rPh sb="14" eb="16">
      <t>セツメイ</t>
    </rPh>
    <rPh sb="21" eb="23">
      <t>ショリ</t>
    </rPh>
    <rPh sb="23" eb="24">
      <t>ケイ</t>
    </rPh>
    <phoneticPr fontId="3"/>
  </si>
  <si>
    <t xml:space="preserve">・AI-05
</t>
    <phoneticPr fontId="3"/>
  </si>
  <si>
    <t>単体テストの手順を説明する。
※すべて生成AIを利用して実施する。
1. テスト項目表を作成する。
　画面仕様や要件定義書を基に、確認すべきテスト観点を整理する。
2. テスト項目表をもとに、処理系の構成要素（Controller、Service、Repository）ごとにテストクラスを作成し、テストコードを実装・実行する。
3. テストが失敗した場合は原因を分析し、必要に応じてコードを修正する。</t>
    <phoneticPr fontId="3"/>
  </si>
  <si>
    <t xml:space="preserve">・AI-05
</t>
    <phoneticPr fontId="3"/>
  </si>
  <si>
    <t xml:space="preserve">商品一覧を対象とした単体テストを実施することを説明する。
</t>
    <rPh sb="0" eb="4">
      <t>ショウヒンイチラン</t>
    </rPh>
    <rPh sb="5" eb="7">
      <t>タイショウ</t>
    </rPh>
    <rPh sb="10" eb="12">
      <t>タンタイ</t>
    </rPh>
    <rPh sb="16" eb="18">
      <t>ジッシ</t>
    </rPh>
    <rPh sb="23" eb="25">
      <t>セツメイ</t>
    </rPh>
    <phoneticPr fontId="3"/>
  </si>
  <si>
    <r>
      <t xml:space="preserve">生成AIを利用してテスト項目表を作成する方法を説明する。
その後、実際にデモを行い、プロンプトの作成方法や活用方法を確認する。
</t>
    </r>
    <r>
      <rPr>
        <sz val="9"/>
        <color rgb="FFFF0000"/>
        <rFont val="Meiryo UI"/>
        <family val="3"/>
        <charset val="128"/>
      </rPr>
      <t>※テキスト内のプロンプトを利用して良い。</t>
    </r>
    <rPh sb="12" eb="14">
      <t>コウモク</t>
    </rPh>
    <rPh sb="14" eb="15">
      <t>ヒョウ</t>
    </rPh>
    <phoneticPr fontId="3"/>
  </si>
  <si>
    <t xml:space="preserve">・AI-05
</t>
    <phoneticPr fontId="3"/>
  </si>
  <si>
    <r>
      <t xml:space="preserve">生成AIを利用してテストコードを作成する方法を説明する。
その後、実際にデモを行い、プロンプトの作成方法や活用方法を確認する。
</t>
    </r>
    <r>
      <rPr>
        <sz val="9"/>
        <color rgb="FFFF0000"/>
        <rFont val="Meiryo UI"/>
        <family val="3"/>
        <charset val="128"/>
      </rPr>
      <t>※テキスト内のプロンプトを利用して良い。</t>
    </r>
    <phoneticPr fontId="3"/>
  </si>
  <si>
    <t>以下の概要を説明する。
アノテーション
　@SpringBootTest または @MybatisTest
　@Autowired
　@BeforeEach
　@Test
　@DisplayName
メソッド
　assertThat</t>
    <rPh sb="0" eb="2">
      <t>イカ</t>
    </rPh>
    <rPh sb="3" eb="5">
      <t>ガイヨウ</t>
    </rPh>
    <rPh sb="6" eb="8">
      <t>セツメイ</t>
    </rPh>
    <phoneticPr fontId="3"/>
  </si>
  <si>
    <t xml:space="preserve">以下の概要を説明する。
アノテーション
　@ExtendWith(MockitoExtension.class)
　@Mock
　@InjectMocks
メソッド
　when - thenReturn
　assertThat
　assertThatThrownBy
</t>
    <rPh sb="0" eb="2">
      <t>イカ</t>
    </rPh>
    <rPh sb="3" eb="5">
      <t>ガイヨウ</t>
    </rPh>
    <rPh sb="6" eb="8">
      <t>セツメイ</t>
    </rPh>
    <phoneticPr fontId="3"/>
  </si>
  <si>
    <t xml:space="preserve">以下の概要を説明する。
アノテーション
　@WebMvcTest(ProductController.class)
　@MockitoBean
クラス
　MockMvc
メソッド
　when - thenReturn
　mockMvc.perform 
　andExpect
</t>
    <rPh sb="0" eb="2">
      <t>イカ</t>
    </rPh>
    <rPh sb="3" eb="5">
      <t>ガイヨウ</t>
    </rPh>
    <rPh sb="6" eb="8">
      <t>セツメイ</t>
    </rPh>
    <phoneticPr fontId="3"/>
  </si>
  <si>
    <t xml:space="preserve">・AI-05
</t>
    <phoneticPr fontId="3"/>
  </si>
  <si>
    <t>以下を伝える。
・作成順
　1. 商品詳細画面:今作った
　2. カート画面
　3. 注文確認画面
　4. 注文完了画面
・作成の進め方
　1. テスト項目表を作成する。
　2. テスト項目表をもとに、処理系の構成要素（Controller、Service、Repository）ごとにテストクラスを作成し、　テストコードを実装・実行する。
　3. テストが失敗した場合は原因を分析し、必要に応じてコードを修正する。</t>
    <rPh sb="0" eb="2">
      <t>イカ</t>
    </rPh>
    <rPh sb="3" eb="4">
      <t>ツタ</t>
    </rPh>
    <rPh sb="9" eb="11">
      <t>サクセイ</t>
    </rPh>
    <rPh sb="11" eb="12">
      <t>ジュン</t>
    </rPh>
    <rPh sb="24" eb="25">
      <t>イマ</t>
    </rPh>
    <rPh sb="25" eb="26">
      <t>ツク</t>
    </rPh>
    <rPh sb="63" eb="65">
      <t>サクセイ</t>
    </rPh>
    <rPh sb="66" eb="67">
      <t>スス</t>
    </rPh>
    <rPh sb="68" eb="69">
      <t>カタシヨウ</t>
    </rPh>
    <phoneticPr fontId="3"/>
  </si>
  <si>
    <r>
      <t xml:space="preserve">講師配布のテストプログラムが成功するようにプログラムを修正する。
■環境構築
1. zipを解凍する。
2. 解凍したフォルダに移動し、コマンドプロンプトを開く。
3. 以下のコマンドを実行する。
　「mvnw.cmd test -Dtest=WebSpecificationTest」
</t>
    </r>
    <r>
      <rPr>
        <sz val="9"/>
        <color rgb="FFFF0000"/>
        <rFont val="Meiryo UI"/>
        <family val="3"/>
        <charset val="128"/>
      </rPr>
      <t xml:space="preserve">　※VSコード上で実施する場合（PSの場合）、先頭に「.\」を付与する必要がある。
</t>
    </r>
    <r>
      <rPr>
        <sz val="9"/>
        <rFont val="Meiryo UI"/>
        <family val="3"/>
        <charset val="128"/>
      </rPr>
      <t xml:space="preserve">4. 実施結果を確認する。
　「BUILD SUCCESS」 で終了し、FailuresとErrorsが0件であることを確認する。
</t>
    </r>
    <r>
      <rPr>
        <sz val="9"/>
        <color rgb="FFFF0000"/>
        <rFont val="Meiryo UI"/>
        <family val="3"/>
        <charset val="128"/>
      </rPr>
      <t>　※失敗した場合、アプリケーションを修正後、再度3から実行する。</t>
    </r>
    <rPh sb="0" eb="2">
      <t>コウシ</t>
    </rPh>
    <rPh sb="2" eb="4">
      <t>ハイフ</t>
    </rPh>
    <rPh sb="14" eb="16">
      <t>セイコウ</t>
    </rPh>
    <rPh sb="27" eb="29">
      <t>シュウセイ</t>
    </rPh>
    <rPh sb="35" eb="37">
      <t>カンキョウ</t>
    </rPh>
    <rPh sb="37" eb="39">
      <t>コウチク</t>
    </rPh>
    <rPh sb="47" eb="49">
      <t>カイトウ</t>
    </rPh>
    <rPh sb="56" eb="58">
      <t>カイトウ</t>
    </rPh>
    <rPh sb="65" eb="67">
      <t>イドウ</t>
    </rPh>
    <rPh sb="79" eb="80">
      <t>ヒラ</t>
    </rPh>
    <rPh sb="86" eb="88">
      <t>イカ</t>
    </rPh>
    <rPh sb="94" eb="96">
      <t>ジッコウ</t>
    </rPh>
    <rPh sb="152" eb="153">
      <t>ジョウ</t>
    </rPh>
    <rPh sb="154" eb="156">
      <t>ジッシ</t>
    </rPh>
    <rPh sb="158" eb="160">
      <t>バアイ</t>
    </rPh>
    <rPh sb="164" eb="166">
      <t>バアイ</t>
    </rPh>
    <rPh sb="173" eb="175">
      <t>セントウ</t>
    </rPh>
    <rPh sb="181" eb="183">
      <t>フヨ</t>
    </rPh>
    <rPh sb="185" eb="187">
      <t>ヒツヨウ</t>
    </rPh>
    <rPh sb="195" eb="197">
      <t>ジッシ</t>
    </rPh>
    <rPh sb="197" eb="199">
      <t>ケッカ</t>
    </rPh>
    <rPh sb="200" eb="202">
      <t>カクニン</t>
    </rPh>
    <rPh sb="247" eb="249">
      <t>カクニン</t>
    </rPh>
    <rPh sb="255" eb="257">
      <t>シッパイ</t>
    </rPh>
    <rPh sb="259" eb="261">
      <t>バアイ</t>
    </rPh>
    <rPh sb="271" eb="273">
      <t>シュウセイ</t>
    </rPh>
    <rPh sb="273" eb="274">
      <t>ゴ</t>
    </rPh>
    <rPh sb="275" eb="277">
      <t>サイド</t>
    </rPh>
    <rPh sb="280" eb="282">
      <t>ジッコウ</t>
    </rPh>
    <phoneticPr fontId="3"/>
  </si>
  <si>
    <t xml:space="preserve">・AI-05
・AI-09
</t>
    <phoneticPr fontId="3"/>
  </si>
  <si>
    <t>※本研修で講師配布テストの実施は不要です。</t>
    <rPh sb="5" eb="7">
      <t>コウシ</t>
    </rPh>
    <rPh sb="7" eb="9">
      <t>ハイフ</t>
    </rPh>
    <rPh sb="13" eb="15">
      <t>ジッシ</t>
    </rPh>
    <rPh sb="16" eb="18">
      <t>フヨウ</t>
    </rPh>
    <phoneticPr fontId="3"/>
  </si>
  <si>
    <r>
      <t xml:space="preserve">課題1・2を早く完了した受講者は、追加課題に取り組むことを指示する。
</t>
    </r>
    <r>
      <rPr>
        <sz val="9"/>
        <color rgb="FFFF0000"/>
        <rFont val="Meiryo UI"/>
        <family val="3"/>
        <charset val="128"/>
      </rPr>
      <t xml:space="preserve">※追加課題の実施は必須ではありません。
</t>
    </r>
    <r>
      <rPr>
        <sz val="9"/>
        <rFont val="Meiryo UI"/>
        <family val="3"/>
        <charset val="128"/>
      </rPr>
      <t xml:space="preserve">
なお、追加課題による資材の変更により、「これまで正常に動作していたアプリケーションが動作しなくなる」「課題2で配布されたテストプログラムが成功しなくなる」といった影響が発生する可能性があります。
そのため、追加課題に着手する前に、必ず作成済みのアプリケーション資材のバックアップ（コミット）しておくことを指示する。
■追加課題一覧
・追加課題①：送料の表示機能
・追加課題②：クーポン機能
・追加課題③：ユーザーアカウント機能</t>
    </r>
    <rPh sb="29" eb="31">
      <t>シジ</t>
    </rPh>
    <rPh sb="208" eb="210">
      <t>シジ</t>
    </rPh>
    <phoneticPr fontId="3"/>
  </si>
  <si>
    <t>※本研修では追加演習の実施は不要です。</t>
    <rPh sb="6" eb="10">
      <t>ツイカエンシュウ</t>
    </rPh>
    <rPh sb="11" eb="13">
      <t>ジッシ</t>
    </rPh>
    <rPh sb="14" eb="16">
      <t>フヨウ</t>
    </rPh>
    <phoneticPr fontId="3"/>
  </si>
  <si>
    <t>課題の概要を各自で確認したうえで、実施することを説明する。</t>
    <rPh sb="24" eb="26">
      <t>セツメイ</t>
    </rPh>
    <phoneticPr fontId="3"/>
  </si>
  <si>
    <t>AI Native-バイブコーディング</t>
    <phoneticPr fontId="3"/>
  </si>
  <si>
    <t>章の名称</t>
    <rPh sb="0" eb="1">
      <t>ショウ</t>
    </rPh>
    <rPh sb="2" eb="4">
      <t>メイショウ</t>
    </rPh>
    <phoneticPr fontId="3"/>
  </si>
  <si>
    <t>節の名称</t>
    <rPh sb="0" eb="1">
      <t>セツ</t>
    </rPh>
    <rPh sb="2" eb="4">
      <t>メイショウ</t>
    </rPh>
    <phoneticPr fontId="3"/>
  </si>
  <si>
    <t>バイブコーディングの導入</t>
    <rPh sb="10" eb="12">
      <t>ドウニュウ</t>
    </rPh>
    <phoneticPr fontId="3"/>
  </si>
  <si>
    <t>講義の目的</t>
    <phoneticPr fontId="3"/>
  </si>
  <si>
    <t>Webアプリケーションとは</t>
    <phoneticPr fontId="3"/>
  </si>
  <si>
    <t>Webアプリケーションとは</t>
  </si>
  <si>
    <t>Webアプリケーションの種類</t>
  </si>
  <si>
    <t>アプリケーションとは</t>
    <phoneticPr fontId="3"/>
  </si>
  <si>
    <t>Web画面アプリケーション</t>
    <phoneticPr fontId="3"/>
  </si>
  <si>
    <t>ブラウザからのリクエスト種類</t>
  </si>
  <si>
    <t>データベースとは</t>
    <phoneticPr fontId="3"/>
  </si>
  <si>
    <t>リレーショナルデータベース</t>
  </si>
  <si>
    <t>データベースの役割</t>
  </si>
  <si>
    <t>2.1.テーブル</t>
  </si>
  <si>
    <t>2.2.データ型１</t>
  </si>
  <si>
    <t>2.2.データ型２</t>
  </si>
  <si>
    <t>2.3.リレーション</t>
  </si>
  <si>
    <t>2.4.データを結合して取得（Join）</t>
  </si>
  <si>
    <t>Java言語、Springフレームワークとは</t>
    <phoneticPr fontId="3"/>
  </si>
  <si>
    <t>Webアプリケーションを作成するためのプログラミング言語</t>
  </si>
  <si>
    <t>Java</t>
  </si>
  <si>
    <t>Java言語の構成要素</t>
  </si>
  <si>
    <t>Webアプリケーションを構成するクラス</t>
  </si>
  <si>
    <t>Nレイヤーアーキテクチャ</t>
  </si>
  <si>
    <t>View と Controller と Service と Repository</t>
  </si>
  <si>
    <t>Webアプリケーション フレームワーク</t>
  </si>
  <si>
    <t>Java向けWebアプリケーションフレームワーク</t>
  </si>
  <si>
    <t>Springフレームワーク</t>
  </si>
  <si>
    <t>Springフレームワーク：DIコンテナとは</t>
  </si>
  <si>
    <t>DIコンテナ：DIコンテナが部品を注入する</t>
  </si>
  <si>
    <t>DIコンテナ：DIコンテナによる部品と注入対象になるための目印</t>
  </si>
  <si>
    <t>Springフレームワークにおける部品の設定</t>
  </si>
  <si>
    <t>Spring Boot</t>
  </si>
  <si>
    <t>Spring Boot：オートコンフィグレーション</t>
  </si>
  <si>
    <t>Spring Boot：Starters</t>
  </si>
  <si>
    <t>Spring Boot：組込みWebAPサーバ</t>
  </si>
  <si>
    <t>おすすめ書籍：『プロになるためのSpring入門』</t>
  </si>
  <si>
    <t>課題1の導入</t>
    <rPh sb="0" eb="2">
      <t>カダイ</t>
    </rPh>
    <rPh sb="4" eb="6">
      <t>ドウニュウ</t>
    </rPh>
    <phoneticPr fontId="3"/>
  </si>
  <si>
    <t>演習課題の概要</t>
    <phoneticPr fontId="3"/>
  </si>
  <si>
    <t>作成物</t>
  </si>
  <si>
    <t>演習課題の進め方</t>
  </si>
  <si>
    <t>Spring Bootプロジェクトの_x000B_準備、起動確認</t>
    <phoneticPr fontId="3"/>
  </si>
  <si>
    <t>前提条件</t>
  </si>
  <si>
    <t>Spring Bootプロジェクトの準備</t>
  </si>
  <si>
    <t>（補足）Spring Bootプロジェクトの準備</t>
  </si>
  <si>
    <t>Spring Bootアプリケーションの起動確認</t>
  </si>
  <si>
    <t>ECサイト Webアプリの要件</t>
  </si>
  <si>
    <t>ECサイト Webアプリの要件 – はじめに</t>
  </si>
  <si>
    <t>ECサイト Webアプリの要件➊ 画面</t>
  </si>
  <si>
    <t>ECサイト Webアプリの要件➋ 機能</t>
  </si>
  <si>
    <t>ECサイト Webアプリの要件➌ 画面遷移</t>
  </si>
  <si>
    <t>ECサイト Webアプリの要件❹ データ設計</t>
    <phoneticPr fontId="3"/>
  </si>
  <si>
    <t>ECサイト Webアプリの要件❺ 初期データ</t>
  </si>
  <si>
    <t>ECサイト Webアプリの要件❻ ディレクトリ構成</t>
  </si>
  <si>
    <t>ECサイト Webアプリの要件❼ パッケージ構成</t>
  </si>
  <si>
    <t>ECサイト Webアプリの要件❽ リソース構成</t>
  </si>
  <si>
    <t>ハンズオン</t>
    <phoneticPr fontId="3"/>
  </si>
  <si>
    <t>バイブコーディング – はじめに</t>
  </si>
  <si>
    <t>[構造理解] Webアプリケーションで必要なもの</t>
  </si>
  <si>
    <t>バイブコーディング➊ 画面モックアップを作ってデザインを決める</t>
  </si>
  <si>
    <t>バイブコーディング➋ データベースのテーブルを準備する</t>
  </si>
  <si>
    <t>バイブコーディング➌ データベースのデータを準備する</t>
  </si>
  <si>
    <t>バイブコーディング❹ データベース処理とビジネスロジックを作る</t>
  </si>
  <si>
    <t>[解説] RepositoryクラスとSQLの例（抜粋）</t>
  </si>
  <si>
    <t>[解説] Entity/Modelクラスの例（抜粋）</t>
  </si>
  <si>
    <t>[解説] Serviceクラスの例（抜粋）</t>
  </si>
  <si>
    <t>バイブコーディング❺ モックアップをもとに画面表示/処理を作る</t>
  </si>
  <si>
    <t>[解説] Controllerクラスの例（抜粋）</t>
  </si>
  <si>
    <t>[解説] Thymeleafテンプレートの例（抜粋）</t>
    <phoneticPr fontId="3"/>
  </si>
  <si>
    <t>[解説] Formクラスの例（抜粋）</t>
  </si>
  <si>
    <t>バイブコーディング❻ 動作を確認する</t>
  </si>
  <si>
    <t>課題1の実施</t>
    <rPh sb="0" eb="2">
      <t>カダイ</t>
    </rPh>
    <rPh sb="4" eb="6">
      <t>ジッシ</t>
    </rPh>
    <phoneticPr fontId="3"/>
  </si>
  <si>
    <t>ここから各自で演習を始めましょう。</t>
  </si>
  <si>
    <t>Gitとは</t>
    <phoneticPr fontId="3"/>
  </si>
  <si>
    <t>はじめに</t>
  </si>
  <si>
    <t>バージョン管理とは</t>
  </si>
  <si>
    <t>Gitの概要</t>
  </si>
  <si>
    <t>Gitの基本構成</t>
  </si>
  <si>
    <t>ワーキングツリー</t>
  </si>
  <si>
    <t>ステージングエリア</t>
  </si>
  <si>
    <t>ローカルリポジトリ</t>
  </si>
  <si>
    <t>リモートリポジトリ</t>
  </si>
  <si>
    <t>ローカルリポジトリの操作</t>
  </si>
  <si>
    <t>リポジトリの作成</t>
  </si>
  <si>
    <t>ファイルの変更</t>
  </si>
  <si>
    <t>変更内容の確認</t>
  </si>
  <si>
    <t>変更内容のステージ</t>
  </si>
  <si>
    <t>変更内容のコミット</t>
  </si>
  <si>
    <t>ワーキングツリーの変更の取り消し</t>
  </si>
  <si>
    <t>ステージングの取り消し</t>
  </si>
  <si>
    <t>コミットの打ち消し</t>
    <rPh sb="5" eb="6">
      <t>ウ</t>
    </rPh>
    <rPh sb="7" eb="8">
      <t>ケ</t>
    </rPh>
    <phoneticPr fontId="3"/>
  </si>
  <si>
    <t>リモートリポジトリの操作</t>
  </si>
  <si>
    <t>リポジトリの複製</t>
    <rPh sb="6" eb="8">
      <t>フクセイ</t>
    </rPh>
    <phoneticPr fontId="3"/>
  </si>
  <si>
    <t>リモートからの取得</t>
    <phoneticPr fontId="3"/>
  </si>
  <si>
    <t>リモートからの取得と反映</t>
    <phoneticPr fontId="3"/>
  </si>
  <si>
    <t>リモートへの反映</t>
    <phoneticPr fontId="3"/>
  </si>
  <si>
    <t>ブランチの操作</t>
  </si>
  <si>
    <t>ブランチとは</t>
  </si>
  <si>
    <t>ブランチの作成</t>
    <phoneticPr fontId="3"/>
  </si>
  <si>
    <t>ブランチの切り替え</t>
    <phoneticPr fontId="3"/>
  </si>
  <si>
    <t>ブランチのマージ</t>
    <phoneticPr fontId="3"/>
  </si>
  <si>
    <t>コンフリクトの解消</t>
  </si>
  <si>
    <t>VSCodeによるGitの操作</t>
  </si>
  <si>
    <t>はじめに</t>
    <phoneticPr fontId="3"/>
  </si>
  <si>
    <t>VSCodeのソース管理機能</t>
  </si>
  <si>
    <t>ローカルリポジトリの操作</t>
    <phoneticPr fontId="3"/>
  </si>
  <si>
    <t>リモートリポジトリの操作</t>
    <phoneticPr fontId="3"/>
  </si>
  <si>
    <t>ブランチの操作</t>
    <phoneticPr fontId="3"/>
  </si>
  <si>
    <t>演習の概要について</t>
    <rPh sb="3" eb="5">
      <t>ガイヨウ</t>
    </rPh>
    <phoneticPr fontId="3"/>
  </si>
  <si>
    <t>構成</t>
    <phoneticPr fontId="3"/>
  </si>
  <si>
    <t>利用するソフトウェア</t>
    <phoneticPr fontId="3"/>
  </si>
  <si>
    <t>演習の前に</t>
  </si>
  <si>
    <t>変更内容のステージング</t>
  </si>
  <si>
    <t>ブランチの作成</t>
  </si>
  <si>
    <t>ブランチの切り替え</t>
  </si>
  <si>
    <t>ブランチのマージ</t>
  </si>
  <si>
    <t>単体テストとJunitの導入</t>
    <rPh sb="0" eb="2">
      <t>タンタイ</t>
    </rPh>
    <rPh sb="12" eb="14">
      <t>ドウニュウ</t>
    </rPh>
    <phoneticPr fontId="3"/>
  </si>
  <si>
    <t>TERASOLUNA 開発手順　 ※再掲</t>
    <phoneticPr fontId="21"/>
  </si>
  <si>
    <t>V字モデル　 ※再掲</t>
    <phoneticPr fontId="21"/>
  </si>
  <si>
    <t>テストとは</t>
    <phoneticPr fontId="3"/>
  </si>
  <si>
    <t>テストとは</t>
    <phoneticPr fontId="21"/>
  </si>
  <si>
    <t>テストの目的</t>
    <phoneticPr fontId="21"/>
  </si>
  <si>
    <t>テストを実施しなかった場合…</t>
    <phoneticPr fontId="21"/>
  </si>
  <si>
    <t>コラム：テストとデバッグ</t>
    <phoneticPr fontId="21"/>
  </si>
  <si>
    <t>単体テストとは</t>
    <phoneticPr fontId="3"/>
  </si>
  <si>
    <t>単体テスト（Unit Test）とは</t>
    <phoneticPr fontId="21"/>
  </si>
  <si>
    <t xml:space="preserve">V字モデル　– 製造/単体テスト –　※再掲 </t>
    <phoneticPr fontId="21"/>
  </si>
  <si>
    <t>テスト設計の流れ</t>
    <rPh sb="3" eb="5">
      <t>セッケイ</t>
    </rPh>
    <rPh sb="6" eb="7">
      <t>ナガ</t>
    </rPh>
    <phoneticPr fontId="21"/>
  </si>
  <si>
    <t>テスト設計の例</t>
    <rPh sb="3" eb="5">
      <t>セッケイ</t>
    </rPh>
    <rPh sb="6" eb="7">
      <t>レイ</t>
    </rPh>
    <phoneticPr fontId="21"/>
  </si>
  <si>
    <t>単体テスト（Unit Test）とは</t>
    <phoneticPr fontId="3"/>
  </si>
  <si>
    <t>テスト技法 – ブラックボックステスト技法 –</t>
    <phoneticPr fontId="21"/>
  </si>
  <si>
    <t>ブラックボックステスト：同値分割法</t>
    <phoneticPr fontId="21"/>
  </si>
  <si>
    <t>ブラックボックステスト：境界値分析</t>
    <phoneticPr fontId="21"/>
  </si>
  <si>
    <t>ブラックボックステスト：ディシジョンテーブルテスト</t>
    <phoneticPr fontId="21"/>
  </si>
  <si>
    <t>ブラックボックステスト：状態遷移テスト</t>
    <phoneticPr fontId="21"/>
  </si>
  <si>
    <t>テスト技法 – ホワイトボックステスト技法 –</t>
    <phoneticPr fontId="21"/>
  </si>
  <si>
    <t>ホワイトボックステストの評価基準</t>
    <phoneticPr fontId="21"/>
  </si>
  <si>
    <t>ホワイトボックステスト：ステートメントテスト</t>
    <phoneticPr fontId="21"/>
  </si>
  <si>
    <t>ホワイトボックステスト：ブランチテスト</t>
    <phoneticPr fontId="21"/>
  </si>
  <si>
    <t>ホワイトボックステスト：コンディションテスト</t>
    <phoneticPr fontId="21"/>
  </si>
  <si>
    <t>テスト技法 – 経験ベースの技法 –</t>
    <phoneticPr fontId="21"/>
  </si>
  <si>
    <t>スタブとドライバ</t>
    <phoneticPr fontId="21"/>
  </si>
  <si>
    <t>スタブとモック</t>
    <phoneticPr fontId="21"/>
  </si>
  <si>
    <t>JUnit</t>
    <phoneticPr fontId="21"/>
  </si>
  <si>
    <t>JUnitとは</t>
    <phoneticPr fontId="21"/>
  </si>
  <si>
    <t>参考文献</t>
    <phoneticPr fontId="3"/>
  </si>
  <si>
    <t>課題2の導入</t>
    <rPh sb="0" eb="2">
      <t>カダイ</t>
    </rPh>
    <rPh sb="4" eb="6">
      <t>ドウニュウ</t>
    </rPh>
    <phoneticPr fontId="3"/>
  </si>
  <si>
    <t>[構造理解] Webアプリケーションで必要なもの  ※再掲</t>
    <phoneticPr fontId="3"/>
  </si>
  <si>
    <t>テストクラスを作成する単位</t>
    <phoneticPr fontId="21"/>
  </si>
  <si>
    <t>JUnitで単体テスト</t>
    <phoneticPr fontId="21"/>
  </si>
  <si>
    <t>バイブコーディングで単体テスト – はじめに</t>
    <phoneticPr fontId="21"/>
  </si>
  <si>
    <t>バイブコーディング単体テスト①テスト項目表を作る</t>
    <phoneticPr fontId="21"/>
  </si>
  <si>
    <t>バイブコーディング単体テスト②Repositoryのテストを作る</t>
    <phoneticPr fontId="21"/>
  </si>
  <si>
    <t>[解説] Repositoryのテストクラス（抜粋）</t>
    <phoneticPr fontId="21"/>
  </si>
  <si>
    <t>バイブコーディング単体テスト③Serviceのテストを作る</t>
    <phoneticPr fontId="21"/>
  </si>
  <si>
    <t>[解説] Serviceのテストクラス（抜粋）</t>
    <phoneticPr fontId="21"/>
  </si>
  <si>
    <t>バイブコーディング単体テスト④Controllerのテストを作る</t>
    <phoneticPr fontId="21"/>
  </si>
  <si>
    <t>[解説] Controllerのテストクラス（抜粋）</t>
    <phoneticPr fontId="21"/>
  </si>
  <si>
    <t>課題2の実施</t>
    <rPh sb="0" eb="2">
      <t>カダイ</t>
    </rPh>
    <rPh sb="4" eb="6">
      <t>ジッシ</t>
    </rPh>
    <phoneticPr fontId="3"/>
  </si>
  <si>
    <t>ここから各自で演習を始めましょう。</t>
    <phoneticPr fontId="21"/>
  </si>
  <si>
    <t>[終了条件] 講師配布のテストプログラム(JUnit)が成功すること</t>
  </si>
  <si>
    <t>追加課題</t>
    <rPh sb="0" eb="2">
      <t>ツイカ</t>
    </rPh>
    <rPh sb="2" eb="4">
      <t>カダイ</t>
    </rPh>
    <phoneticPr fontId="3"/>
  </si>
  <si>
    <t>追加課題①：送料の表示機能</t>
    <rPh sb="6" eb="8">
      <t>ソウリョウ</t>
    </rPh>
    <rPh sb="9" eb="11">
      <t>ヒョウジ</t>
    </rPh>
    <rPh sb="11" eb="13">
      <t>キノウ</t>
    </rPh>
    <phoneticPr fontId="3"/>
  </si>
  <si>
    <t>追加課題②：クーポン機能</t>
    <phoneticPr fontId="3"/>
  </si>
  <si>
    <t>追加課題③：ユーザーアカウント機能</t>
    <phoneticPr fontId="3"/>
  </si>
  <si>
    <t>演習の振り返り</t>
    <rPh sb="0" eb="2">
      <t>エンシュウ</t>
    </rPh>
    <rPh sb="3" eb="4">
      <t>フ</t>
    </rPh>
    <rPh sb="5" eb="6">
      <t>カエ</t>
    </rPh>
    <phoneticPr fontId="3"/>
  </si>
  <si>
    <t>アプリケーションの比較・分析</t>
    <rPh sb="9" eb="11">
      <t>ヒカク</t>
    </rPh>
    <rPh sb="12" eb="14">
      <t>ブンセキ</t>
    </rPh>
    <phoneticPr fontId="3"/>
  </si>
  <si>
    <t>改善点の整理</t>
    <rPh sb="0" eb="3">
      <t>カイゼンテン</t>
    </rPh>
    <rPh sb="4" eb="6">
      <t>セイリ</t>
    </rPh>
    <phoneticPr fontId="3"/>
  </si>
  <si>
    <t>分析結果の共有</t>
    <rPh sb="0" eb="2">
      <t>ブンセキ</t>
    </rPh>
    <rPh sb="2" eb="4">
      <t>ケッカ</t>
    </rPh>
    <rPh sb="5" eb="7">
      <t>キョウユウ</t>
    </rPh>
    <phoneticPr fontId="3"/>
  </si>
  <si>
    <t>AI-11</t>
  </si>
  <si>
    <t>【AI Native研修-バイブコーディング】演習課題2 JUnitで単体テスト.pptx</t>
    <phoneticPr fontId="3"/>
  </si>
  <si>
    <t>【AI Native研修-バイブコーディング】Git入門.docx</t>
    <phoneticPr fontId="3"/>
  </si>
  <si>
    <t>【AI Native研修-バイブコーディング】Git入門_演習.docx</t>
    <phoneticPr fontId="3"/>
  </si>
  <si>
    <t>【AI Native研修-バイブコーディング】AIレビュー演習手順書.pptx</t>
    <phoneticPr fontId="3"/>
  </si>
  <si>
    <t>【AI Native研修-バイブコーディング】GitHubCopilotのLLM選択についての説明.pptx</t>
    <phoneticPr fontId="3"/>
  </si>
  <si>
    <t xml:space="preserve">・AI-09
・AI-10
・AI-11
</t>
    <phoneticPr fontId="3"/>
  </si>
  <si>
    <t>比較・分析した結果をもとに、振り返りの内容を記入することを説明する。
① 自身のAPとサンプルAPの違い
② 自身のAPをどのように改善できるか
③ 気づいたこと・学んだこと</t>
    <rPh sb="0" eb="2">
      <t>ヒカク</t>
    </rPh>
    <rPh sb="14" eb="15">
      <t>フ</t>
    </rPh>
    <rPh sb="16" eb="17">
      <t>カエ</t>
    </rPh>
    <rPh sb="19" eb="21">
      <t>ナイヨウ</t>
    </rPh>
    <rPh sb="22" eb="24">
      <t>キニュウ</t>
    </rPh>
    <rPh sb="29" eb="31">
      <t>セツメイ</t>
    </rPh>
    <phoneticPr fontId="3"/>
  </si>
  <si>
    <t xml:space="preserve">分析結果を共有することを説明する。
</t>
    <rPh sb="0" eb="2">
      <t>ブンセキ</t>
    </rPh>
    <rPh sb="2" eb="4">
      <t>ケッカ</t>
    </rPh>
    <rPh sb="5" eb="7">
      <t>キョウユウ</t>
    </rPh>
    <rPh sb="12" eb="14">
      <t>セツメイ</t>
    </rPh>
    <phoneticPr fontId="3"/>
  </si>
  <si>
    <t xml:space="preserve">・AI-10
</t>
    <phoneticPr fontId="3"/>
  </si>
  <si>
    <t>各コンポーネント間の関連を説明する。</t>
    <rPh sb="0" eb="1">
      <t>カク</t>
    </rPh>
    <rPh sb="8" eb="9">
      <t>カン</t>
    </rPh>
    <rPh sb="10" eb="12">
      <t>カンレンセツメイ</t>
    </rPh>
    <phoneticPr fontId="3"/>
  </si>
  <si>
    <t>ec-webapp-example.zip</t>
    <phoneticPr fontId="3"/>
  </si>
  <si>
    <t xml:space="preserve">・AI-09
・AI-10
・AI-11
</t>
    <phoneticPr fontId="3"/>
  </si>
  <si>
    <r>
      <t>AIレビュー演習手順書を利用して、以下を実施することを説明する。
■自身のAPの分析（AIレビュー）
　1. ディレクトリ・ファイル構成
　2. 命名規則
　3. 設計・処理の分割方法
　4. コーディングスタイル・可読性
　5. エラーハンドリング
　6. セキュリティ対策
　7. 処理効率
　8. テストのしやすさ
■自身のAPとサンプルのAPとの比較
　・任意の観点で比較：分析
　</t>
    </r>
    <r>
      <rPr>
        <sz val="9"/>
        <color rgb="FFFF0000"/>
        <rFont val="Meiryo UI"/>
        <family val="3"/>
        <charset val="128"/>
      </rPr>
      <t>AIに比較・分析させても良いし、自身で実施しても良い。
　※AIに分析させる場合、以下の構成で分析させた方が良い。
　1. 以下の場所に「ec-webapp-example.zip」を解凍する。
　　　C:\work\lecture\java\ec-webapp-example
　2. VS Codeで、C:\work\lecture\javaをフォルダとして開く。
　　以下の2つのフォルダが表示されることを確認する。
　　・ec-webapp
　　・ec-webapp-example
  3. AIに2つのフォルダを比較・分析するように指示する。
　　プロンプトは別紙参照</t>
    </r>
    <r>
      <rPr>
        <sz val="9"/>
        <rFont val="Meiryo UI"/>
        <family val="3"/>
        <charset val="128"/>
      </rPr>
      <t xml:space="preserve">
</t>
    </r>
    <r>
      <rPr>
        <sz val="9"/>
        <color rgb="FFFF0000"/>
        <rFont val="Meiryo UI"/>
        <family val="3"/>
        <charset val="128"/>
      </rPr>
      <t>■アプリ起動時の注意点
※ポートの衝突を防ぐため、以下のコマンドで実行することを推奨する。</t>
    </r>
    <r>
      <rPr>
        <sz val="9"/>
        <rFont val="Meiryo UI"/>
        <family val="3"/>
        <charset val="128"/>
      </rPr>
      <t xml:space="preserve">
　「mvn spring-boot:run -Dspring-boot.run.arguments=--server.port=8081」</t>
    </r>
    <rPh sb="12" eb="14">
      <t>リヨウ</t>
    </rPh>
    <rPh sb="17" eb="19">
      <t>イカ</t>
    </rPh>
    <rPh sb="20" eb="22">
      <t>ジッシ</t>
    </rPh>
    <rPh sb="27" eb="29">
      <t>セツメイ</t>
    </rPh>
    <rPh sb="35" eb="37">
      <t>ジシン</t>
    </rPh>
    <rPh sb="41" eb="43">
      <t>ブンセキ</t>
    </rPh>
    <rPh sb="164" eb="166">
      <t>ジシン</t>
    </rPh>
    <rPh sb="179" eb="181">
      <t>ヒカク</t>
    </rPh>
    <rPh sb="184" eb="186">
      <t>ニンイ</t>
    </rPh>
    <rPh sb="190" eb="192">
      <t>ヒカク</t>
    </rPh>
    <rPh sb="193" eb="195">
      <t>ブンセキ</t>
    </rPh>
    <rPh sb="200" eb="202">
      <t>ヒカク</t>
    </rPh>
    <rPh sb="203" eb="205">
      <t>ブンセキ</t>
    </rPh>
    <rPh sb="209" eb="210">
      <t>ヨ</t>
    </rPh>
    <rPh sb="213" eb="215">
      <t>ジシン</t>
    </rPh>
    <rPh sb="216" eb="218">
      <t>ジッシ</t>
    </rPh>
    <rPh sb="221" eb="222">
      <t>ヨ</t>
    </rPh>
    <rPh sb="231" eb="233">
      <t>ブンセキ</t>
    </rPh>
    <rPh sb="236" eb="238">
      <t>バアイ</t>
    </rPh>
    <rPh sb="239" eb="241">
      <t>イカ</t>
    </rPh>
    <rPh sb="242" eb="244">
      <t>コウセイ</t>
    </rPh>
    <rPh sb="245" eb="247">
      <t>ブンセキ</t>
    </rPh>
    <rPh sb="250" eb="251">
      <t>ホウ</t>
    </rPh>
    <rPh sb="252" eb="253">
      <t>ヨ</t>
    </rPh>
    <rPh sb="484" eb="486">
      <t>ベッシ</t>
    </rPh>
    <rPh sb="486" eb="488">
      <t>サンショウ</t>
    </rPh>
    <rPh sb="490" eb="491">
      <t>トキ</t>
    </rPh>
    <rPh sb="492" eb="495">
      <t>チュウイテン</t>
    </rPh>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</si>
</sst>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1"/>
      <name val="ＭＳ Ｐゴシック"/>
      <family val="3"/>
      <charset val="128"/>
    </font>
    <font>
      <sz val="11"/>
      <color theme="1"/>
      <name val="ＭＳ Ｐゴシック"/>
      <family val="2"/>
      <charset val="128"/>
      <scheme val="minor"/>
    </font>
    <font>
      <sz val="11"/>
      <color theme="1"/>
      <name val="ＭＳ Ｐゴシック"/>
      <family val="2"/>
      <charset val="128"/>
      <scheme val="minor"/>
    </font>
    <font>
      <sz val="6"/>
      <name val="ＭＳ Ｐゴシック"/>
      <family val="3"/>
      <charset val="128"/>
    </font>
    <font>
      <u/>
      <sz val="11"/>
      <color theme="10"/>
      <name val="ＭＳ Ｐゴシック"/>
      <family val="3"/>
      <charset val="128"/>
    </font>
    <font>
      <sz val="9"/>
      <name val="Meiryo UI"/>
      <family val="3"/>
      <charset val="128"/>
    </font>
    <font>
      <b/>
      <sz val="16"/>
      <color indexed="9"/>
      <name val="Meiryo UI"/>
      <family val="3"/>
      <charset val="128"/>
    </font>
    <font>
      <b/>
      <sz val="9"/>
      <color indexed="9"/>
      <name val="Meiryo UI"/>
      <family val="3"/>
      <charset val="128"/>
    </font>
    <font>
      <b/>
      <sz val="11"/>
      <color indexed="9"/>
      <name val="Meiryo UI"/>
      <family val="3"/>
      <charset val="128"/>
    </font>
    <font>
      <sz val="11"/>
      <name val="Meiryo UI"/>
      <family val="3"/>
      <charset val="128"/>
    </font>
    <font>
      <b/>
      <sz val="9"/>
      <color theme="0"/>
      <name val="Meiryo UI"/>
      <family val="3"/>
      <charset val="128"/>
    </font>
    <font>
      <sz val="9"/>
      <color theme="0"/>
      <name val="Meiryo UI"/>
      <family val="3"/>
      <charset val="128"/>
    </font>
    <font>
      <b/>
      <sz val="20"/>
      <color indexed="9"/>
      <name val="Meiryo UI"/>
      <family val="3"/>
      <charset val="128"/>
    </font>
    <font>
      <sz val="12"/>
      <color theme="0"/>
      <name val="Meiryo UI"/>
      <family val="3"/>
      <charset val="128"/>
    </font>
    <font>
      <sz val="9"/>
      <color indexed="9"/>
      <name val="Meiryo UI"/>
      <family val="3"/>
      <charset val="128"/>
    </font>
    <font>
      <sz val="9"/>
      <color theme="1"/>
      <name val="Meiryo UI"/>
      <family val="3"/>
      <charset val="128"/>
    </font>
    <font>
      <b/>
      <sz val="12"/>
      <color theme="0"/>
      <name val="Meiryo UI"/>
      <family val="3"/>
      <charset val="128"/>
    </font>
    <font>
      <sz val="9"/>
      <color rgb="FFFF0000"/>
      <name val="Meiryo UI"/>
      <family val="3"/>
      <charset val="128"/>
    </font>
    <font>
      <b/>
      <sz val="9"/>
      <color indexed="81"/>
      <name val="MS P ゴシック"/>
      <family val="3"/>
      <charset val="128"/>
    </font>
    <font>
      <sz val="14"/>
      <name val="Meiryo UI"/>
      <family val="3"/>
      <charset val="128"/>
    </font>
    <font>
      <sz val="16"/>
      <name val="Meiryo UI"/>
      <family val="3"/>
      <charset val="128"/>
    </font>
    <font>
      <sz val="6"/>
      <name val="ＭＳ Ｐゴシック"/>
      <family val="2"/>
      <charset val="128"/>
      <scheme val="minor"/>
    </font>
    <font>
      <b/>
      <sz val="11"/>
      <name val="ＭＳ Ｐゴシック"/>
      <family val="3"/>
      <charset val="128"/>
    </font>
  </fonts>
  <fills count="11">
    <fill>
      <patternFill patternType="none"/>
    </fill>
    <fill>
      <patternFill patternType="gray125"/>
    </fill>
    <fill>
      <patternFill patternType="solid">
        <fgColor indexed="18"/>
        <bgColor indexed="64"/>
      </patternFill>
    </fill>
    <fill>
      <patternFill patternType="solid">
        <fgColor rgb="FF333399"/>
        <bgColor indexed="64"/>
      </patternFill>
    </fill>
    <fill>
      <patternFill patternType="solid">
        <fgColor theme="6" tint="0.79998168889431442"/>
        <bgColor indexed="64"/>
      </patternFill>
    </fill>
    <fill>
      <patternFill patternType="solid">
        <fgColor theme="3" tint="0.79998168889431442"/>
        <bgColor indexed="64"/>
      </patternFill>
    </fill>
    <fill>
      <patternFill patternType="solid">
        <fgColor rgb="FFFFCCFF"/>
        <bgColor indexed="64"/>
      </patternFill>
    </fill>
    <fill>
      <patternFill patternType="solid">
        <fgColor theme="0"/>
        <bgColor indexed="64"/>
      </patternFill>
    </fill>
    <fill>
      <patternFill patternType="solid">
        <fgColor rgb="FFEBF1DE"/>
        <bgColor indexed="64"/>
      </patternFill>
    </fill>
    <fill>
      <patternFill patternType="solid">
        <fgColor theme="4" tint="0.59999389629810485"/>
        <bgColor indexed="64"/>
      </patternFill>
    </fill>
    <fill>
      <patternFill patternType="solid">
        <fgColor theme="0" tint="-0.14999847407452621"/>
        <bgColor indexed="64"/>
      </patternFill>
    </fill>
  </fills>
  <borders count="15">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style="thin">
        <color indexed="64"/>
      </left>
      <right/>
      <top style="thin">
        <color indexed="64"/>
      </top>
      <bottom style="thin">
        <color auto="1"/>
      </bottom>
      <diagonal/>
    </border>
    <border>
      <left/>
      <right/>
      <top style="thin">
        <color indexed="64"/>
      </top>
      <bottom style="thin">
        <color auto="1"/>
      </bottom>
      <diagonal/>
    </border>
    <border>
      <left/>
      <right style="thin">
        <color indexed="64"/>
      </right>
      <top style="thin">
        <color indexed="64"/>
      </top>
      <bottom style="thin">
        <color auto="1"/>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right/>
      <top/>
      <bottom style="medium">
        <color indexed="64"/>
      </bottom>
      <diagonal/>
    </border>
    <border>
      <left style="thin">
        <color auto="1"/>
      </left>
      <right/>
      <top/>
      <bottom/>
      <diagonal/>
    </border>
    <border>
      <left style="thin">
        <color auto="1"/>
      </left>
      <right/>
      <top style="thin">
        <color auto="1"/>
      </top>
      <bottom/>
      <diagonal/>
    </border>
    <border>
      <left style="thin">
        <color auto="1"/>
      </left>
      <right/>
      <top/>
      <bottom style="thin">
        <color auto="1"/>
      </bottom>
      <diagonal/>
    </border>
  </borders>
  <cellStyleXfs count="4">
    <xf numFmtId="0" fontId="0" fillId="0" borderId="0">
      <alignment vertical="center"/>
    </xf>
    <xf numFmtId="0" fontId="2" fillId="0" borderId="0">
      <alignment vertical="center"/>
    </xf>
    <xf numFmtId="0" fontId="1" fillId="0" borderId="0">
      <alignment vertical="center"/>
    </xf>
    <xf numFmtId="0" fontId="4" fillId="0" borderId="0" applyNumberFormat="0" applyFill="0" applyBorder="0" applyAlignment="0" applyProtection="0">
      <alignment vertical="center"/>
    </xf>
  </cellStyleXfs>
  <cellXfs count="130">
    <xf numFmtId="0" fontId="0" fillId="0" borderId="0" xfId="0">
      <alignment vertical="center"/>
    </xf>
    <xf numFmtId="0" fontId="5" fillId="0" borderId="0" xfId="0" applyFont="1">
      <alignment vertical="center"/>
    </xf>
    <xf numFmtId="0" fontId="6" fillId="3" borderId="0" xfId="0" applyFont="1" applyFill="1">
      <alignment vertical="center"/>
    </xf>
    <xf numFmtId="0" fontId="7" fillId="3" borderId="0" xfId="0" applyFont="1" applyFill="1">
      <alignment vertical="center"/>
    </xf>
    <xf numFmtId="0" fontId="7" fillId="3" borderId="0" xfId="0" applyFont="1" applyFill="1" applyAlignment="1">
      <alignment horizontal="center" vertical="center"/>
    </xf>
    <xf numFmtId="0" fontId="8" fillId="3" borderId="0" xfId="0" applyFont="1" applyFill="1">
      <alignment vertical="center"/>
    </xf>
    <xf numFmtId="0" fontId="9" fillId="0" borderId="0" xfId="0" applyFont="1">
      <alignment vertical="center"/>
    </xf>
    <xf numFmtId="0" fontId="7" fillId="0" borderId="0" xfId="0" applyFont="1">
      <alignment vertical="center"/>
    </xf>
    <xf numFmtId="0" fontId="7" fillId="0" borderId="0" xfId="0" applyFont="1" applyAlignment="1">
      <alignment horizontal="center" vertical="center"/>
    </xf>
    <xf numFmtId="0" fontId="8" fillId="0" borderId="0" xfId="0" applyFont="1">
      <alignment vertical="center"/>
    </xf>
    <xf numFmtId="0" fontId="5" fillId="0" borderId="0" xfId="0" applyFont="1" applyAlignment="1">
      <alignment horizontal="center" vertical="center"/>
    </xf>
    <xf numFmtId="0" fontId="5" fillId="0" borderId="0" xfId="0" applyFont="1" applyAlignment="1">
      <alignment vertical="top"/>
    </xf>
    <xf numFmtId="0" fontId="5" fillId="4" borderId="1" xfId="0" applyFont="1" applyFill="1" applyBorder="1" applyAlignment="1">
      <alignment horizontal="left" vertical="top"/>
    </xf>
    <xf numFmtId="0" fontId="12" fillId="0" borderId="0" xfId="0" applyFont="1" applyAlignment="1">
      <alignment horizontal="center" vertical="center"/>
    </xf>
    <xf numFmtId="0" fontId="12" fillId="0" borderId="0" xfId="0" applyFont="1" applyAlignment="1">
      <alignment horizontal="right" vertical="center"/>
    </xf>
    <xf numFmtId="0" fontId="5" fillId="0" borderId="0" xfId="0" applyFont="1" applyAlignment="1">
      <alignment horizontal="right" vertical="center"/>
    </xf>
    <xf numFmtId="20" fontId="5" fillId="0" borderId="1" xfId="0" applyNumberFormat="1" applyFont="1" applyBorder="1" applyAlignment="1">
      <alignment horizontal="right" vertical="top"/>
    </xf>
    <xf numFmtId="0" fontId="8" fillId="3" borderId="0" xfId="0" applyFont="1" applyFill="1" applyAlignment="1">
      <alignment horizontal="center" vertical="center"/>
    </xf>
    <xf numFmtId="0" fontId="8" fillId="0" borderId="0" xfId="0" applyFont="1" applyAlignment="1">
      <alignment horizontal="center" vertical="center"/>
    </xf>
    <xf numFmtId="0" fontId="5" fillId="6" borderId="1" xfId="0" applyFont="1" applyFill="1" applyBorder="1" applyAlignment="1">
      <alignment horizontal="left" vertical="top" wrapText="1"/>
    </xf>
    <xf numFmtId="0" fontId="5" fillId="0" borderId="11" xfId="0" applyFont="1" applyBorder="1">
      <alignment vertical="center"/>
    </xf>
    <xf numFmtId="0" fontId="14" fillId="2" borderId="1" xfId="0" applyFont="1" applyFill="1" applyBorder="1" applyAlignment="1">
      <alignment horizontal="center" vertical="center"/>
    </xf>
    <xf numFmtId="0" fontId="6" fillId="3" borderId="0" xfId="0" applyFont="1" applyFill="1" applyAlignment="1">
      <alignment horizontal="left" vertical="center"/>
    </xf>
    <xf numFmtId="0" fontId="8" fillId="0" borderId="0" xfId="0" applyFont="1" applyAlignment="1">
      <alignment horizontal="left" vertical="center"/>
    </xf>
    <xf numFmtId="0" fontId="5" fillId="0" borderId="0" xfId="0" applyFont="1" applyAlignment="1">
      <alignment horizontal="left" vertical="center"/>
    </xf>
    <xf numFmtId="0" fontId="11" fillId="3" borderId="1" xfId="0" applyFont="1" applyFill="1" applyBorder="1" applyAlignment="1">
      <alignment horizontal="center" vertical="center" wrapText="1"/>
    </xf>
    <xf numFmtId="0" fontId="19" fillId="0" borderId="12" xfId="3" applyFont="1" applyFill="1" applyBorder="1" applyAlignment="1">
      <alignment vertical="center" wrapText="1"/>
    </xf>
    <xf numFmtId="0" fontId="19" fillId="0" borderId="0" xfId="3" applyFont="1" applyFill="1" applyBorder="1" applyAlignment="1">
      <alignment vertical="center" wrapText="1"/>
    </xf>
    <xf numFmtId="0" fontId="20" fillId="0" borderId="0" xfId="0" applyFont="1">
      <alignment vertical="center"/>
    </xf>
    <xf numFmtId="0" fontId="6" fillId="3" borderId="0" xfId="0" applyFont="1" applyFill="1" applyAlignment="1">
      <alignment horizontal="center" vertical="center"/>
    </xf>
    <xf numFmtId="0" fontId="10" fillId="3" borderId="1" xfId="0" applyFont="1" applyFill="1" applyBorder="1" applyAlignment="1">
      <alignment horizontal="center" vertical="center"/>
    </xf>
    <xf numFmtId="0" fontId="5" fillId="0" borderId="1" xfId="0" applyFont="1" applyBorder="1" applyAlignment="1">
      <alignment horizontal="left" vertical="center" wrapText="1"/>
    </xf>
    <xf numFmtId="0" fontId="5" fillId="7" borderId="1" xfId="0" applyFont="1" applyFill="1" applyBorder="1">
      <alignment vertical="center"/>
    </xf>
    <xf numFmtId="0" fontId="5" fillId="0" borderId="1" xfId="0" applyFont="1" applyBorder="1">
      <alignment vertical="center"/>
    </xf>
    <xf numFmtId="20" fontId="5" fillId="0" borderId="8" xfId="0" applyNumberFormat="1" applyFont="1" applyBorder="1" applyAlignment="1">
      <alignment horizontal="right" vertical="top"/>
    </xf>
    <xf numFmtId="20" fontId="5" fillId="0" borderId="10" xfId="0" applyNumberFormat="1" applyFont="1" applyBorder="1" applyAlignment="1">
      <alignment horizontal="right" vertical="top"/>
    </xf>
    <xf numFmtId="20" fontId="5" fillId="0" borderId="9" xfId="0" applyNumberFormat="1" applyFont="1" applyBorder="1" applyAlignment="1">
      <alignment horizontal="right" vertical="top"/>
    </xf>
    <xf numFmtId="20" fontId="15" fillId="0" borderId="8" xfId="0" applyNumberFormat="1" applyFont="1" applyBorder="1" applyAlignment="1">
      <alignment vertical="top"/>
    </xf>
    <xf numFmtId="20" fontId="15" fillId="0" borderId="9" xfId="0" applyNumberFormat="1" applyFont="1" applyBorder="1" applyAlignment="1">
      <alignment vertical="top"/>
    </xf>
    <xf numFmtId="20" fontId="15" fillId="0" borderId="10" xfId="0" applyNumberFormat="1" applyFont="1" applyBorder="1" applyAlignment="1">
      <alignment vertical="top"/>
    </xf>
    <xf numFmtId="0" fontId="17" fillId="8" borderId="1" xfId="0" applyFont="1" applyFill="1" applyBorder="1" applyAlignment="1">
      <alignment horizontal="left" vertical="top" wrapText="1"/>
    </xf>
    <xf numFmtId="0" fontId="5" fillId="0" borderId="5" xfId="0" applyFont="1" applyBorder="1">
      <alignment vertical="center"/>
    </xf>
    <xf numFmtId="0" fontId="5" fillId="0" borderId="3" xfId="0" applyFont="1" applyBorder="1">
      <alignment vertical="center"/>
    </xf>
    <xf numFmtId="20" fontId="5" fillId="0" borderId="0" xfId="0" applyNumberFormat="1" applyFont="1" applyAlignment="1">
      <alignment horizontal="center" vertical="center"/>
    </xf>
    <xf numFmtId="20" fontId="5" fillId="4" borderId="1" xfId="0" applyNumberFormat="1" applyFont="1" applyFill="1" applyBorder="1" applyAlignment="1">
      <alignment horizontal="right" vertical="top"/>
    </xf>
    <xf numFmtId="0" fontId="9" fillId="0" borderId="0" xfId="0" applyFont="1" applyAlignment="1">
      <alignment horizontal="center" vertical="center"/>
    </xf>
    <xf numFmtId="20" fontId="5" fillId="4" borderId="1" xfId="0" applyNumberFormat="1" applyFont="1" applyFill="1" applyBorder="1" applyAlignment="1">
      <alignment horizontal="center" vertical="top"/>
    </xf>
    <xf numFmtId="0" fontId="5" fillId="6" borderId="1" xfId="0" applyFont="1" applyFill="1" applyBorder="1" applyAlignment="1">
      <alignment horizontal="center" vertical="top" wrapText="1"/>
    </xf>
    <xf numFmtId="0" fontId="5" fillId="4" borderId="1" xfId="0" applyFont="1" applyFill="1" applyBorder="1" applyAlignment="1">
      <alignment horizontal="left" vertical="top" wrapText="1"/>
    </xf>
    <xf numFmtId="20" fontId="5" fillId="0" borderId="12" xfId="0" applyNumberFormat="1" applyFont="1" applyBorder="1" applyAlignment="1">
      <alignment horizontal="right" vertical="top"/>
    </xf>
    <xf numFmtId="20" fontId="15" fillId="0" borderId="14" xfId="0" applyNumberFormat="1" applyFont="1" applyBorder="1" applyAlignment="1">
      <alignment vertical="top"/>
    </xf>
    <xf numFmtId="0" fontId="5" fillId="5" borderId="10" xfId="0" applyFont="1" applyFill="1" applyBorder="1" applyAlignment="1">
      <alignment vertical="top" wrapText="1"/>
    </xf>
    <xf numFmtId="0" fontId="5" fillId="5" borderId="9" xfId="0" applyFont="1" applyFill="1" applyBorder="1" applyAlignment="1">
      <alignment vertical="top" wrapText="1"/>
    </xf>
    <xf numFmtId="20" fontId="5" fillId="6" borderId="1" xfId="0" applyNumberFormat="1" applyFont="1" applyFill="1" applyBorder="1" applyAlignment="1">
      <alignment horizontal="right" vertical="top" wrapText="1"/>
    </xf>
    <xf numFmtId="20" fontId="5" fillId="0" borderId="13" xfId="0" applyNumberFormat="1" applyFont="1" applyBorder="1" applyAlignment="1">
      <alignment horizontal="right" vertical="top"/>
    </xf>
    <xf numFmtId="0" fontId="5" fillId="5" borderId="8" xfId="0" applyFont="1" applyFill="1" applyBorder="1" applyAlignment="1">
      <alignment vertical="top" wrapText="1"/>
    </xf>
    <xf numFmtId="20" fontId="5" fillId="0" borderId="8" xfId="0" applyNumberFormat="1" applyFont="1" applyBorder="1" applyAlignment="1">
      <alignment vertical="top"/>
    </xf>
    <xf numFmtId="0" fontId="5" fillId="0" borderId="1" xfId="0" applyFont="1" applyBorder="1" applyAlignment="1">
      <alignment horizontal="left" vertical="center"/>
    </xf>
    <xf numFmtId="0" fontId="5" fillId="9" borderId="1" xfId="0" applyFont="1" applyFill="1" applyBorder="1" applyAlignment="1">
      <alignment horizontal="left" vertical="top" wrapText="1"/>
    </xf>
    <xf numFmtId="0" fontId="5" fillId="9" borderId="1" xfId="0" applyFont="1" applyFill="1" applyBorder="1" applyAlignment="1">
      <alignment horizontal="left" vertical="top"/>
    </xf>
    <xf numFmtId="20" fontId="5" fillId="9" borderId="1" xfId="0" applyNumberFormat="1" applyFont="1" applyFill="1" applyBorder="1" applyAlignment="1">
      <alignment horizontal="center" vertical="top"/>
    </xf>
    <xf numFmtId="20" fontId="5" fillId="9" borderId="1" xfId="0" applyNumberFormat="1" applyFont="1" applyFill="1" applyBorder="1" applyAlignment="1">
      <alignment horizontal="right" vertical="top"/>
    </xf>
    <xf numFmtId="0" fontId="17" fillId="9" borderId="1" xfId="0" applyFont="1" applyFill="1" applyBorder="1" applyAlignment="1">
      <alignment horizontal="left" vertical="top" wrapText="1"/>
    </xf>
    <xf numFmtId="20" fontId="5" fillId="0" borderId="10" xfId="0" applyNumberFormat="1" applyFont="1" applyBorder="1" applyAlignment="1">
      <alignment vertical="top"/>
    </xf>
    <xf numFmtId="20" fontId="5" fillId="0" borderId="9" xfId="0" applyNumberFormat="1" applyFont="1" applyBorder="1" applyAlignment="1">
      <alignment vertical="top"/>
    </xf>
    <xf numFmtId="0" fontId="5" fillId="4" borderId="1" xfId="0" applyFont="1" applyFill="1" applyBorder="1" applyAlignment="1">
      <alignment vertical="top"/>
    </xf>
    <xf numFmtId="0" fontId="5" fillId="4" borderId="8" xfId="0" applyFont="1" applyFill="1" applyBorder="1" applyAlignment="1">
      <alignment vertical="top"/>
    </xf>
    <xf numFmtId="0" fontId="5" fillId="4" borderId="10" xfId="0" applyFont="1" applyFill="1" applyBorder="1" applyAlignment="1">
      <alignment vertical="top"/>
    </xf>
    <xf numFmtId="0" fontId="5" fillId="4" borderId="9" xfId="0" applyFont="1" applyFill="1" applyBorder="1" applyAlignment="1">
      <alignment vertical="top"/>
    </xf>
    <xf numFmtId="0" fontId="5" fillId="6" borderId="1" xfId="0" applyFont="1" applyFill="1" applyBorder="1" applyAlignment="1">
      <alignment vertical="center" wrapText="1"/>
    </xf>
    <xf numFmtId="0" fontId="5" fillId="0" borderId="8" xfId="0" applyFont="1" applyBorder="1" applyAlignment="1">
      <alignment horizontal="left" vertical="top"/>
    </xf>
    <xf numFmtId="0" fontId="5" fillId="0" borderId="10" xfId="0" applyFont="1" applyBorder="1" applyAlignment="1">
      <alignment horizontal="left" vertical="top"/>
    </xf>
    <xf numFmtId="0" fontId="5" fillId="0" borderId="9" xfId="0" applyFont="1" applyBorder="1" applyAlignment="1">
      <alignment horizontal="left" vertical="top"/>
    </xf>
    <xf numFmtId="0" fontId="5" fillId="7" borderId="1" xfId="0" applyFont="1" applyFill="1" applyBorder="1" applyAlignment="1">
      <alignment vertical="center" wrapText="1"/>
    </xf>
    <xf numFmtId="20" fontId="5" fillId="0" borderId="5" xfId="0" applyNumberFormat="1" applyFont="1" applyBorder="1" applyAlignment="1">
      <alignment vertical="top"/>
    </xf>
    <xf numFmtId="0" fontId="5" fillId="4" borderId="8" xfId="0" applyFont="1" applyFill="1" applyBorder="1" applyAlignment="1">
      <alignment horizontal="center" vertical="center" textRotation="255" wrapText="1"/>
    </xf>
    <xf numFmtId="0" fontId="5" fillId="9" borderId="8" xfId="0" applyFont="1" applyFill="1" applyBorder="1" applyAlignment="1">
      <alignment vertical="top" wrapText="1"/>
    </xf>
    <xf numFmtId="0" fontId="5" fillId="9" borderId="9" xfId="0" applyFont="1" applyFill="1" applyBorder="1" applyAlignment="1">
      <alignment vertical="top" wrapText="1"/>
    </xf>
    <xf numFmtId="20" fontId="5" fillId="4" borderId="1" xfId="0" applyNumberFormat="1" applyFont="1" applyFill="1" applyBorder="1" applyAlignment="1">
      <alignment horizontal="left" vertical="top" wrapText="1"/>
    </xf>
    <xf numFmtId="0" fontId="0" fillId="0" borderId="0" xfId="0" applyAlignment="1">
      <alignment horizontal="left" vertical="top"/>
    </xf>
    <xf numFmtId="0" fontId="22" fillId="0" borderId="0" xfId="0" applyFont="1">
      <alignment vertical="center"/>
    </xf>
    <xf numFmtId="0" fontId="0" fillId="10" borderId="0" xfId="0" applyFill="1">
      <alignment vertical="center"/>
    </xf>
    <xf numFmtId="20" fontId="0" fillId="0" borderId="0" xfId="0" applyNumberFormat="1" applyAlignment="1">
      <alignment horizontal="left" vertical="top"/>
    </xf>
    <xf numFmtId="20" fontId="0" fillId="0" borderId="0" xfId="0" applyNumberFormat="1" applyAlignment="1">
      <alignment horizontal="left" vertical="top" wrapText="1"/>
    </xf>
    <xf numFmtId="20" fontId="15" fillId="0" borderId="1" xfId="0" applyNumberFormat="1" applyFont="1" applyBorder="1" applyAlignment="1">
      <alignment vertical="top"/>
    </xf>
    <xf numFmtId="0" fontId="5" fillId="5" borderId="1" xfId="0" applyFont="1" applyFill="1" applyBorder="1" applyAlignment="1">
      <alignment vertical="top" wrapText="1"/>
    </xf>
    <xf numFmtId="0" fontId="5" fillId="9" borderId="9" xfId="0" applyFont="1" applyFill="1" applyBorder="1" applyAlignment="1">
      <alignment horizontal="center" vertical="center" textRotation="255"/>
    </xf>
    <xf numFmtId="0" fontId="5" fillId="6" borderId="1" xfId="3" applyFont="1" applyFill="1" applyBorder="1" applyAlignment="1">
      <alignment horizontal="left" vertical="top" wrapText="1"/>
    </xf>
    <xf numFmtId="0" fontId="5" fillId="9" borderId="1" xfId="0" applyFont="1" applyFill="1" applyBorder="1" applyAlignment="1">
      <alignment horizontal="center" vertical="center" wrapText="1"/>
    </xf>
    <xf numFmtId="0" fontId="17" fillId="4" borderId="1" xfId="0" applyFont="1" applyFill="1" applyBorder="1" applyAlignment="1">
      <alignment horizontal="left" vertical="top" wrapText="1"/>
    </xf>
    <xf numFmtId="0" fontId="5" fillId="6" borderId="8" xfId="0" applyFont="1" applyFill="1" applyBorder="1" applyAlignment="1">
      <alignment vertical="center" wrapText="1"/>
    </xf>
    <xf numFmtId="0" fontId="5" fillId="7" borderId="8" xfId="0" applyFont="1" applyFill="1" applyBorder="1" applyAlignment="1">
      <alignment vertical="center" wrapText="1"/>
    </xf>
    <xf numFmtId="0" fontId="5" fillId="7" borderId="9" xfId="0" applyFont="1" applyFill="1" applyBorder="1" applyAlignment="1">
      <alignment vertical="center" wrapText="1"/>
    </xf>
    <xf numFmtId="0" fontId="12" fillId="3" borderId="0" xfId="0" applyFont="1" applyFill="1" applyAlignment="1">
      <alignment horizontal="center" vertical="center"/>
    </xf>
    <xf numFmtId="0" fontId="13" fillId="3" borderId="6" xfId="0" applyFont="1" applyFill="1" applyBorder="1" applyAlignment="1">
      <alignment horizontal="center" vertical="center"/>
    </xf>
    <xf numFmtId="0" fontId="13" fillId="3" borderId="7" xfId="0" applyFont="1" applyFill="1" applyBorder="1" applyAlignment="1">
      <alignment horizontal="center" vertical="center"/>
    </xf>
    <xf numFmtId="0" fontId="5" fillId="0" borderId="6" xfId="0" applyFont="1" applyBorder="1" applyAlignment="1">
      <alignment horizontal="center" vertical="center"/>
    </xf>
    <xf numFmtId="0" fontId="5" fillId="0" borderId="7" xfId="0" applyFont="1" applyBorder="1" applyAlignment="1">
      <alignment horizontal="center" vertical="center"/>
    </xf>
    <xf numFmtId="0" fontId="13" fillId="3" borderId="0" xfId="0" applyFont="1" applyFill="1" applyAlignment="1">
      <alignment horizontal="center" vertical="center"/>
    </xf>
    <xf numFmtId="0" fontId="5" fillId="5" borderId="10" xfId="0" applyFont="1" applyFill="1" applyBorder="1" applyAlignment="1">
      <alignment horizontal="center" vertical="top" wrapText="1"/>
    </xf>
    <xf numFmtId="0" fontId="5" fillId="5" borderId="9" xfId="0" applyFont="1" applyFill="1" applyBorder="1" applyAlignment="1">
      <alignment horizontal="center" vertical="top" wrapText="1"/>
    </xf>
    <xf numFmtId="0" fontId="11" fillId="3" borderId="1" xfId="0" applyFont="1" applyFill="1" applyBorder="1" applyAlignment="1">
      <alignment horizontal="center" vertical="center" wrapText="1"/>
    </xf>
    <xf numFmtId="0" fontId="11" fillId="3" borderId="1" xfId="0" applyFont="1" applyFill="1" applyBorder="1" applyAlignment="1">
      <alignment horizontal="center" vertical="center"/>
    </xf>
    <xf numFmtId="0" fontId="5" fillId="6" borderId="1" xfId="0" applyFont="1" applyFill="1" applyBorder="1" applyAlignment="1">
      <alignment horizontal="left" vertical="top" wrapText="1"/>
    </xf>
    <xf numFmtId="0" fontId="16" fillId="3" borderId="2" xfId="0" applyFont="1" applyFill="1" applyBorder="1" applyAlignment="1">
      <alignment horizontal="center" vertical="center"/>
    </xf>
    <xf numFmtId="0" fontId="19" fillId="0" borderId="1" xfId="3" applyFont="1" applyFill="1" applyBorder="1" applyAlignment="1">
      <alignment horizontal="left" vertical="center" wrapText="1"/>
    </xf>
    <xf numFmtId="0" fontId="10" fillId="3" borderId="1" xfId="0" applyFont="1" applyFill="1" applyBorder="1" applyAlignment="1">
      <alignment horizontal="center" vertical="center"/>
    </xf>
    <xf numFmtId="0" fontId="11" fillId="3" borderId="8" xfId="0" applyFont="1" applyFill="1" applyBorder="1" applyAlignment="1">
      <alignment horizontal="center" vertical="center" wrapText="1"/>
    </xf>
    <xf numFmtId="0" fontId="11" fillId="3" borderId="9" xfId="0" applyFont="1" applyFill="1" applyBorder="1" applyAlignment="1">
      <alignment horizontal="center" vertical="center" wrapText="1"/>
    </xf>
    <xf numFmtId="0" fontId="5" fillId="9" borderId="3" xfId="0" applyFont="1" applyFill="1" applyBorder="1" applyAlignment="1">
      <alignment horizontal="left" vertical="top" wrapText="1"/>
    </xf>
    <xf numFmtId="0" fontId="5" fillId="9" borderId="4" xfId="0" applyFont="1" applyFill="1" applyBorder="1" applyAlignment="1">
      <alignment horizontal="left" vertical="top" wrapText="1"/>
    </xf>
    <xf numFmtId="0" fontId="5" fillId="9" borderId="5" xfId="0" applyFont="1" applyFill="1" applyBorder="1" applyAlignment="1">
      <alignment horizontal="left" vertical="top" wrapText="1"/>
    </xf>
    <xf numFmtId="0" fontId="5" fillId="4" borderId="8" xfId="0" applyFont="1" applyFill="1" applyBorder="1" applyAlignment="1">
      <alignment horizontal="center" vertical="center" textRotation="255"/>
    </xf>
    <xf numFmtId="0" fontId="5" fillId="4" borderId="10" xfId="0" applyFont="1" applyFill="1" applyBorder="1" applyAlignment="1">
      <alignment horizontal="center" vertical="center" textRotation="255"/>
    </xf>
    <xf numFmtId="0" fontId="5" fillId="4" borderId="9" xfId="0" applyFont="1" applyFill="1" applyBorder="1" applyAlignment="1">
      <alignment horizontal="center" vertical="center" textRotation="255"/>
    </xf>
    <xf numFmtId="0" fontId="5" fillId="9" borderId="8" xfId="0" applyFont="1" applyFill="1" applyBorder="1" applyAlignment="1">
      <alignment horizontal="center" vertical="center" textRotation="255"/>
    </xf>
    <xf numFmtId="0" fontId="5" fillId="9" borderId="10" xfId="0" applyFont="1" applyFill="1" applyBorder="1" applyAlignment="1">
      <alignment horizontal="center" vertical="center" textRotation="255"/>
    </xf>
    <xf numFmtId="0" fontId="5" fillId="9" borderId="9" xfId="0" applyFont="1" applyFill="1" applyBorder="1" applyAlignment="1">
      <alignment horizontal="center" vertical="center" textRotation="255"/>
    </xf>
    <xf numFmtId="0" fontId="5" fillId="4" borderId="3" xfId="0" applyFont="1" applyFill="1" applyBorder="1" applyAlignment="1">
      <alignment horizontal="left" vertical="top" wrapText="1"/>
    </xf>
    <xf numFmtId="0" fontId="5" fillId="4" borderId="4" xfId="0" applyFont="1" applyFill="1" applyBorder="1" applyAlignment="1">
      <alignment horizontal="left" vertical="top" wrapText="1"/>
    </xf>
    <xf numFmtId="0" fontId="5" fillId="4" borderId="5" xfId="0" applyFont="1" applyFill="1" applyBorder="1" applyAlignment="1">
      <alignment horizontal="left" vertical="top" wrapText="1"/>
    </xf>
    <xf numFmtId="0" fontId="5" fillId="9" borderId="8" xfId="0" applyFont="1" applyFill="1" applyBorder="1" applyAlignment="1">
      <alignment horizontal="center" vertical="center" textRotation="255" wrapText="1"/>
    </xf>
    <xf numFmtId="0" fontId="5" fillId="9" borderId="10" xfId="0" applyFont="1" applyFill="1" applyBorder="1" applyAlignment="1">
      <alignment horizontal="center" vertical="center" textRotation="255" wrapText="1"/>
    </xf>
    <xf numFmtId="0" fontId="5" fillId="9" borderId="9" xfId="0" applyFont="1" applyFill="1" applyBorder="1" applyAlignment="1">
      <alignment horizontal="center" vertical="center" textRotation="255" wrapText="1"/>
    </xf>
    <xf numFmtId="0" fontId="11" fillId="3" borderId="3" xfId="0" applyFont="1" applyFill="1" applyBorder="1" applyAlignment="1">
      <alignment horizontal="center" vertical="center" wrapText="1"/>
    </xf>
    <xf numFmtId="0" fontId="11" fillId="3" borderId="5" xfId="0" applyFont="1" applyFill="1" applyBorder="1" applyAlignment="1">
      <alignment horizontal="center" vertical="center" wrapText="1"/>
    </xf>
    <xf numFmtId="0" fontId="19" fillId="0" borderId="1" xfId="3" applyFont="1" applyFill="1" applyBorder="1" applyAlignment="1">
      <alignment vertical="center" wrapText="1"/>
    </xf>
    <xf numFmtId="0" fontId="5" fillId="4" borderId="8" xfId="0" applyFont="1" applyFill="1" applyBorder="1" applyAlignment="1">
      <alignment horizontal="center" vertical="center" textRotation="255" wrapText="1"/>
    </xf>
    <xf numFmtId="0" fontId="5" fillId="4" borderId="10" xfId="0" applyFont="1" applyFill="1" applyBorder="1" applyAlignment="1">
      <alignment horizontal="center" vertical="center" textRotation="255" wrapText="1"/>
    </xf>
    <xf numFmtId="0" fontId="5" fillId="4" borderId="9" xfId="0" applyFont="1" applyFill="1" applyBorder="1" applyAlignment="1">
      <alignment horizontal="center" vertical="center" textRotation="255" wrapText="1"/>
    </xf>
  </cellXfs>
  <cellStyles count="4">
    <cellStyle name="ハイパーリンク" xfId="3" builtinId="8"/>
    <cellStyle name="標準" xfId="0" builtinId="0"/>
    <cellStyle name="標準 2" xfId="1" xr:uid="{00000000-0005-0000-0000-000002000000}"/>
    <cellStyle name="標準 2 2" xfId="2" xr:uid="{00000000-0005-0000-0000-000003000000}"/>
  </cellStyles>
  <dxfs count="0"/>
  <tableStyles count="0" defaultTableStyle="TableStyleMedium2" defaultPivotStyle="PivotStyleLight16"/>
  <colors>
    <mruColors>
      <color rgb="FFC5D9F1"/>
      <color rgb="FFFFFF99"/>
      <color rgb="FFFFCCFF"/>
      <color rgb="FFFFCC99"/>
      <color rgb="FFFF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chemeClr val="bg1"/>
        </a:solidFill>
        <a:ln w="12700" cap="sq">
          <a:solidFill>
            <a:schemeClr val="tx1"/>
          </a:solidFill>
          <a:miter lim="800000"/>
        </a:ln>
      </a:spPr>
      <a:bodyPr vertOverflow="clip" horzOverflow="clip" lIns="36000" tIns="36000" rIns="36000" bIns="36000" rtlCol="0" anchor="t" anchorCtr="0"/>
      <a:lstStyle>
        <a:defPPr algn="l">
          <a:defRPr kumimoji="1" sz="900">
            <a:solidFill>
              <a:sysClr val="windowText" lastClr="000000"/>
            </a:solidFill>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H44"/>
  <sheetViews>
    <sheetView showGridLines="0" tabSelected="1" view="pageBreakPreview" zoomScale="90" zoomScaleNormal="115" zoomScaleSheetLayoutView="90" workbookViewId="0"/>
  </sheetViews>
  <sheetFormatPr defaultColWidth="9" defaultRowHeight="15"/>
  <cols>
    <col min="1" max="1" width="7" style="1" bestFit="1" customWidth="1"/>
    <col min="2" max="2" width="7.33203125" style="15" bestFit="1" customWidth="1"/>
    <col min="3" max="3" width="45" style="1" bestFit="1" customWidth="1"/>
    <col min="4" max="4" width="7.33203125" style="1" customWidth="1"/>
    <col min="5" max="5" width="45" style="1" customWidth="1"/>
    <col min="6" max="6" width="7.33203125" style="1" customWidth="1"/>
    <col min="7" max="7" width="45" style="1" customWidth="1"/>
    <col min="8" max="8" width="5" style="1" customWidth="1"/>
    <col min="9" max="16384" width="9" style="6"/>
  </cols>
  <sheetData>
    <row r="2" spans="1:8" ht="27">
      <c r="A2" s="13"/>
      <c r="B2" s="93" t="str">
        <f>"コースプラン/インストラクションガイド 「"&amp;master!$B$1&amp;"_IG」"</f>
        <v>コースプラン/インストラクションガイド 「AI Native-バイブコーディング_IG」</v>
      </c>
      <c r="C2" s="93"/>
      <c r="D2" s="93"/>
      <c r="E2" s="93"/>
      <c r="F2" s="93"/>
      <c r="G2" s="93"/>
    </row>
    <row r="3" spans="1:8" ht="27.6" thickBot="1">
      <c r="A3" s="13"/>
      <c r="B3" s="14"/>
      <c r="C3" s="13"/>
      <c r="D3" s="13"/>
      <c r="E3" s="13"/>
      <c r="F3" s="13"/>
      <c r="G3" s="13"/>
    </row>
    <row r="4" spans="1:8" ht="27.6" thickBot="1">
      <c r="A4" s="13"/>
      <c r="B4" s="94" t="s">
        <v>0</v>
      </c>
      <c r="C4" s="95"/>
      <c r="D4" s="13"/>
      <c r="E4" s="13"/>
      <c r="F4" s="13"/>
      <c r="G4" s="13"/>
    </row>
    <row r="5" spans="1:8" ht="27.6" thickBot="1">
      <c r="A5" s="13"/>
      <c r="B5" s="96"/>
      <c r="C5" s="97"/>
      <c r="D5" s="13"/>
      <c r="E5" s="13"/>
      <c r="F5" s="13"/>
      <c r="G5" s="13"/>
    </row>
    <row r="7" spans="1:8" ht="16.2">
      <c r="B7" s="98" t="s">
        <v>1</v>
      </c>
      <c r="C7" s="98"/>
    </row>
    <row r="8" spans="1:8">
      <c r="E8" s="15"/>
      <c r="G8" s="15"/>
    </row>
    <row r="9" spans="1:8">
      <c r="B9" s="21"/>
      <c r="C9" s="21" t="s">
        <v>2</v>
      </c>
      <c r="D9" s="21"/>
      <c r="E9" s="21" t="s">
        <v>3</v>
      </c>
      <c r="F9" s="21"/>
      <c r="G9" s="21" t="s">
        <v>4</v>
      </c>
    </row>
    <row r="10" spans="1:8" ht="14.25" customHeight="1">
      <c r="A10" s="34">
        <v>0.39583333333333331</v>
      </c>
      <c r="B10" s="16">
        <v>0.39583333333333331</v>
      </c>
      <c r="C10" s="69" t="s">
        <v>5</v>
      </c>
      <c r="D10" s="34">
        <v>0.39583333333333331</v>
      </c>
      <c r="E10" s="69" t="s">
        <v>5</v>
      </c>
      <c r="F10" s="34">
        <v>0.39583333333333331</v>
      </c>
      <c r="G10" s="90" t="s">
        <v>5</v>
      </c>
    </row>
    <row r="11" spans="1:8">
      <c r="A11" s="36"/>
      <c r="B11" s="56">
        <v>0.40625</v>
      </c>
      <c r="C11" s="66" t="str">
        <f>master!B3</f>
        <v>バイブコーディングの導入</v>
      </c>
      <c r="D11" s="56">
        <v>0.40625</v>
      </c>
      <c r="E11" s="55" t="str">
        <f>master!B67</f>
        <v>課題1の実施</v>
      </c>
      <c r="F11" s="56">
        <v>0.40625</v>
      </c>
      <c r="G11" s="55" t="str">
        <f>master!B67</f>
        <v>課題1の実施</v>
      </c>
    </row>
    <row r="12" spans="1:8">
      <c r="A12" s="34">
        <v>0.41666666666666669</v>
      </c>
      <c r="B12" s="64"/>
      <c r="C12" s="65" t="str">
        <f>master!B4</f>
        <v>Webアプリケーションとは</v>
      </c>
      <c r="D12" s="63"/>
      <c r="E12" s="51"/>
      <c r="F12" s="63"/>
      <c r="G12" s="51" t="str">
        <f>master!B156</f>
        <v>課題2の実施</v>
      </c>
    </row>
    <row r="13" spans="1:8">
      <c r="A13" s="35"/>
      <c r="B13" s="56">
        <v>0.42708333333333331</v>
      </c>
      <c r="C13" s="66" t="str">
        <f>master!B9</f>
        <v>データベースとは</v>
      </c>
      <c r="D13" s="63"/>
      <c r="E13" s="51"/>
      <c r="F13" s="63"/>
      <c r="G13" s="51"/>
      <c r="H13" s="6"/>
    </row>
    <row r="14" spans="1:8">
      <c r="A14" s="35"/>
      <c r="B14" s="64"/>
      <c r="C14" s="68"/>
      <c r="D14" s="63"/>
      <c r="E14" s="51"/>
      <c r="F14" s="63"/>
      <c r="G14" s="51"/>
      <c r="H14" s="6"/>
    </row>
    <row r="15" spans="1:8">
      <c r="A15" s="36"/>
      <c r="B15" s="56">
        <v>0.44791666666666669</v>
      </c>
      <c r="C15" s="66" t="str">
        <f>master!B17</f>
        <v>Java言語、Springフレームワークとは</v>
      </c>
      <c r="D15" s="63"/>
      <c r="E15" s="51"/>
      <c r="F15" s="63"/>
      <c r="G15" s="51"/>
      <c r="H15" s="6"/>
    </row>
    <row r="16" spans="1:8">
      <c r="A16" s="34">
        <v>0.45833333333333331</v>
      </c>
      <c r="B16" s="63"/>
      <c r="C16" s="67"/>
      <c r="D16" s="63"/>
      <c r="E16" s="51"/>
      <c r="F16" s="63"/>
      <c r="G16" s="51"/>
      <c r="H16" s="6"/>
    </row>
    <row r="17" spans="1:8">
      <c r="A17" s="35"/>
      <c r="B17" s="63"/>
      <c r="C17" s="67"/>
      <c r="D17" s="63"/>
      <c r="E17" s="51"/>
      <c r="F17" s="63"/>
      <c r="G17" s="51"/>
      <c r="H17" s="6"/>
    </row>
    <row r="18" spans="1:8">
      <c r="A18" s="35"/>
      <c r="B18" s="63"/>
      <c r="C18" s="67"/>
      <c r="D18" s="63"/>
      <c r="E18" s="51"/>
      <c r="F18" s="63"/>
      <c r="G18" s="51"/>
      <c r="H18" s="6"/>
    </row>
    <row r="19" spans="1:8">
      <c r="A19" s="36"/>
      <c r="B19" s="64"/>
      <c r="C19" s="68"/>
      <c r="D19" s="63"/>
      <c r="E19" s="51"/>
      <c r="F19" s="63"/>
      <c r="G19" s="51"/>
      <c r="H19" s="6"/>
    </row>
    <row r="20" spans="1:8">
      <c r="A20" s="54">
        <v>0.5</v>
      </c>
      <c r="B20" s="54">
        <v>0.5</v>
      </c>
      <c r="C20" s="37" t="s">
        <v>6</v>
      </c>
      <c r="D20" s="63"/>
      <c r="E20" s="51"/>
      <c r="F20" s="63"/>
      <c r="G20" s="51"/>
      <c r="H20" s="6"/>
    </row>
    <row r="21" spans="1:8">
      <c r="A21" s="49"/>
      <c r="B21" s="50"/>
      <c r="C21" s="38"/>
      <c r="D21" s="64"/>
      <c r="E21" s="52"/>
      <c r="F21" s="64"/>
      <c r="G21" s="52"/>
      <c r="H21" s="6"/>
    </row>
    <row r="22" spans="1:8">
      <c r="A22" s="35"/>
      <c r="B22" s="35">
        <v>0.52083333333333337</v>
      </c>
      <c r="C22" s="70" t="s">
        <v>7</v>
      </c>
      <c r="D22" s="35">
        <v>0.52083333333333337</v>
      </c>
      <c r="E22" s="70" t="s">
        <v>7</v>
      </c>
      <c r="F22" s="35">
        <v>0.52083333333333337</v>
      </c>
      <c r="G22" s="71" t="s">
        <v>7</v>
      </c>
      <c r="H22" s="6"/>
    </row>
    <row r="23" spans="1:8">
      <c r="A23" s="36"/>
      <c r="B23" s="35" t="s">
        <v>8</v>
      </c>
      <c r="C23" s="71"/>
      <c r="D23" s="35" t="s">
        <v>8</v>
      </c>
      <c r="E23" s="71"/>
      <c r="F23" s="35" t="s">
        <v>8</v>
      </c>
      <c r="G23" s="71"/>
      <c r="H23" s="6"/>
    </row>
    <row r="24" spans="1:8">
      <c r="A24" s="34">
        <v>0.54166666666666663</v>
      </c>
      <c r="B24" s="35" t="s">
        <v>8</v>
      </c>
      <c r="C24" s="71"/>
      <c r="D24" s="35" t="s">
        <v>8</v>
      </c>
      <c r="E24" s="71"/>
      <c r="F24" s="35" t="s">
        <v>8</v>
      </c>
      <c r="G24" s="71"/>
      <c r="H24" s="6"/>
    </row>
    <row r="25" spans="1:8">
      <c r="A25" s="35"/>
      <c r="B25" s="36" t="s">
        <v>8</v>
      </c>
      <c r="C25" s="72"/>
      <c r="D25" s="36" t="s">
        <v>8</v>
      </c>
      <c r="E25" s="72"/>
      <c r="F25" s="36" t="s">
        <v>8</v>
      </c>
      <c r="G25" s="72"/>
      <c r="H25" s="6"/>
    </row>
    <row r="26" spans="1:8">
      <c r="A26" s="35"/>
      <c r="B26" s="37">
        <v>0.5625</v>
      </c>
      <c r="C26" s="55" t="str">
        <f>master!B37</f>
        <v>課題1の導入</v>
      </c>
      <c r="D26" s="37">
        <v>0.5625</v>
      </c>
      <c r="E26" s="66" t="str">
        <f>master!B116</f>
        <v>単体テストとJunitの導入</v>
      </c>
      <c r="F26" s="37">
        <v>0.5625</v>
      </c>
      <c r="G26" s="55"/>
      <c r="H26" s="6"/>
    </row>
    <row r="27" spans="1:8">
      <c r="A27" s="36"/>
      <c r="B27" s="38"/>
      <c r="C27" s="52"/>
      <c r="D27" s="39"/>
      <c r="E27" s="66" t="str">
        <f>master!B119</f>
        <v>テストとは</v>
      </c>
      <c r="F27" s="39"/>
      <c r="G27" s="51"/>
      <c r="H27" s="6"/>
    </row>
    <row r="28" spans="1:8">
      <c r="A28" s="34">
        <v>0.58333333333333337</v>
      </c>
      <c r="B28" s="37">
        <v>0.58333333333333337</v>
      </c>
      <c r="C28" s="55" t="str">
        <f>master!B40</f>
        <v>Spring Bootプロジェクトの_x000B_準備、起動確認</v>
      </c>
      <c r="D28" s="34">
        <v>0.58333333333333337</v>
      </c>
      <c r="E28" s="66" t="str">
        <f>master!B123</f>
        <v>単体テストとは</v>
      </c>
      <c r="F28" s="39"/>
      <c r="G28" s="51"/>
      <c r="H28" s="6"/>
    </row>
    <row r="29" spans="1:8">
      <c r="A29" s="35"/>
      <c r="B29" s="38"/>
      <c r="C29" s="52"/>
      <c r="D29" s="39"/>
      <c r="E29" s="67"/>
      <c r="F29" s="39"/>
      <c r="G29" s="51"/>
      <c r="H29" s="6"/>
    </row>
    <row r="30" spans="1:8">
      <c r="A30" s="35"/>
      <c r="B30" s="39">
        <v>0.60416666666666663</v>
      </c>
      <c r="C30" s="51" t="str">
        <f>master!B44</f>
        <v>ECサイト Webアプリの要件</v>
      </c>
      <c r="D30" s="39"/>
      <c r="E30" s="67"/>
      <c r="F30" s="39"/>
      <c r="G30" s="51"/>
      <c r="H30" s="6"/>
    </row>
    <row r="31" spans="1:8">
      <c r="A31" s="36"/>
      <c r="B31" s="39"/>
      <c r="C31" s="52"/>
      <c r="D31" s="39"/>
      <c r="E31" s="67"/>
      <c r="F31" s="39"/>
      <c r="G31" s="51"/>
      <c r="H31" s="6"/>
    </row>
    <row r="32" spans="1:8">
      <c r="A32" s="54">
        <v>0.625</v>
      </c>
      <c r="B32" s="54">
        <v>0.625</v>
      </c>
      <c r="C32" s="55" t="str">
        <f>master!B53</f>
        <v>ハンズオン</v>
      </c>
      <c r="D32" s="39"/>
      <c r="E32" s="67"/>
      <c r="F32" s="39"/>
      <c r="G32" s="51"/>
      <c r="H32" s="6"/>
    </row>
    <row r="33" spans="1:8">
      <c r="A33" s="49"/>
      <c r="B33" s="39"/>
      <c r="C33" s="51"/>
      <c r="D33" s="38"/>
      <c r="E33" s="68"/>
      <c r="F33" s="39"/>
      <c r="G33" s="51"/>
      <c r="H33" s="6"/>
    </row>
    <row r="34" spans="1:8">
      <c r="A34" s="49"/>
      <c r="B34" s="39"/>
      <c r="C34" s="51"/>
      <c r="D34" s="84">
        <v>0.64583333333333337</v>
      </c>
      <c r="E34" s="65" t="str">
        <f>master!B141</f>
        <v>JUnit</v>
      </c>
      <c r="F34" s="39"/>
      <c r="G34" s="51"/>
      <c r="H34" s="6"/>
    </row>
    <row r="35" spans="1:8">
      <c r="A35" s="36"/>
      <c r="B35" s="39"/>
      <c r="C35" s="51"/>
      <c r="D35" s="84">
        <v>0.65277777777777779</v>
      </c>
      <c r="E35" s="85" t="str">
        <f>master!B144</f>
        <v>課題2の導入</v>
      </c>
      <c r="F35" s="39"/>
      <c r="G35" s="51"/>
      <c r="H35" s="6"/>
    </row>
    <row r="36" spans="1:8">
      <c r="A36" s="34">
        <v>0.66666666666666663</v>
      </c>
      <c r="B36" s="39"/>
      <c r="C36" s="51"/>
      <c r="D36" s="34">
        <v>0.66666666666666663</v>
      </c>
      <c r="E36" s="55" t="str">
        <f>master!B148</f>
        <v>ハンズオン</v>
      </c>
      <c r="F36" s="39"/>
      <c r="G36" s="51"/>
      <c r="H36" s="6"/>
    </row>
    <row r="37" spans="1:8">
      <c r="A37" s="35"/>
      <c r="B37" s="39"/>
      <c r="C37" s="52"/>
      <c r="D37" s="39"/>
      <c r="E37" s="51"/>
      <c r="F37" s="38"/>
      <c r="G37" s="52"/>
      <c r="H37" s="6"/>
    </row>
    <row r="38" spans="1:8">
      <c r="A38" s="35"/>
      <c r="B38" s="56">
        <v>0.6875</v>
      </c>
      <c r="C38" s="66" t="s">
        <v>9</v>
      </c>
      <c r="D38" s="39"/>
      <c r="E38" s="51"/>
      <c r="F38" s="63">
        <v>0.6875</v>
      </c>
      <c r="G38" s="51" t="str">
        <f>master!B164</f>
        <v>演習の振り返り</v>
      </c>
      <c r="H38" s="6"/>
    </row>
    <row r="39" spans="1:8">
      <c r="A39" s="35"/>
      <c r="B39" s="63"/>
      <c r="C39" s="67"/>
      <c r="D39" s="39"/>
      <c r="E39" s="51"/>
      <c r="F39" s="39"/>
      <c r="G39" s="51"/>
      <c r="H39" s="6"/>
    </row>
    <row r="40" spans="1:8">
      <c r="A40" s="37">
        <v>0.70833333333333337</v>
      </c>
      <c r="B40" s="63"/>
      <c r="C40" s="68"/>
      <c r="D40" s="39"/>
      <c r="E40" s="51"/>
      <c r="F40" s="39"/>
      <c r="G40" s="51"/>
      <c r="H40" s="6"/>
    </row>
    <row r="41" spans="1:8">
      <c r="A41" s="35"/>
      <c r="B41" s="37">
        <v>0.71875</v>
      </c>
      <c r="C41" s="55" t="s">
        <v>9</v>
      </c>
      <c r="D41" s="39"/>
      <c r="E41" s="99"/>
      <c r="F41" s="39"/>
      <c r="G41" s="51"/>
      <c r="H41" s="6"/>
    </row>
    <row r="42" spans="1:8">
      <c r="A42" s="39"/>
      <c r="B42" s="64"/>
      <c r="C42" s="52"/>
      <c r="D42" s="39"/>
      <c r="E42" s="100"/>
      <c r="F42" s="37">
        <v>0.72916666666666663</v>
      </c>
      <c r="G42" s="91" t="s">
        <v>6</v>
      </c>
      <c r="H42" s="6"/>
    </row>
    <row r="43" spans="1:8" ht="14.25" customHeight="1">
      <c r="A43" s="38"/>
      <c r="B43" s="74">
        <v>0.73958333333333337</v>
      </c>
      <c r="C43" s="73" t="s">
        <v>6</v>
      </c>
      <c r="D43" s="74">
        <v>0.73958333333333337</v>
      </c>
      <c r="E43" s="73" t="s">
        <v>6</v>
      </c>
      <c r="F43" s="38"/>
      <c r="G43" s="92"/>
    </row>
    <row r="44" spans="1:8" ht="15.6" thickBot="1">
      <c r="A44" s="6"/>
      <c r="D44" s="20"/>
      <c r="F44" s="20"/>
      <c r="H44" s="6"/>
    </row>
  </sheetData>
  <mergeCells count="5">
    <mergeCell ref="B2:G2"/>
    <mergeCell ref="B4:C4"/>
    <mergeCell ref="B5:C5"/>
    <mergeCell ref="B7:C7"/>
    <mergeCell ref="E41:E42"/>
  </mergeCells>
  <phoneticPr fontId="3"/>
  <pageMargins left="0.7" right="0.7" top="0.75" bottom="0.75" header="0.3" footer="0.3"/>
  <pageSetup paperSize="9" scale="38"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L13"/>
  <sheetViews>
    <sheetView showGridLines="0" view="pageBreakPreview" zoomScale="90" zoomScaleNormal="100" zoomScaleSheetLayoutView="90" workbookViewId="0"/>
  </sheetViews>
  <sheetFormatPr defaultColWidth="9" defaultRowHeight="15"/>
  <cols>
    <col min="1" max="1" width="4.33203125" style="1" customWidth="1"/>
    <col min="2" max="2" width="8.33203125" style="1" customWidth="1"/>
    <col min="3" max="3" width="39.88671875" style="1" bestFit="1" customWidth="1"/>
    <col min="4" max="4" width="21.109375" style="10" bestFit="1" customWidth="1"/>
    <col min="5" max="5" width="16.33203125" style="10" customWidth="1"/>
    <col min="6" max="6" width="10.44140625" style="10" bestFit="1" customWidth="1"/>
    <col min="7" max="7" width="15.6640625" style="1" customWidth="1"/>
    <col min="8" max="8" width="8.44140625" style="24" customWidth="1"/>
    <col min="9" max="10" width="6.6640625" style="10" customWidth="1"/>
    <col min="11" max="11" width="38.44140625" style="1" customWidth="1"/>
    <col min="12" max="12" width="4.6640625" style="1" customWidth="1"/>
    <col min="13" max="16384" width="9" style="6"/>
  </cols>
  <sheetData>
    <row r="2" spans="1:12" s="28" customFormat="1" ht="36.75" customHeight="1">
      <c r="B2" s="2" t="s">
        <v>10</v>
      </c>
      <c r="C2" s="2"/>
      <c r="D2" s="29"/>
      <c r="E2" s="29"/>
      <c r="F2" s="29"/>
      <c r="G2" s="2"/>
      <c r="H2" s="22"/>
      <c r="I2" s="29"/>
      <c r="J2" s="29"/>
      <c r="K2" s="2"/>
    </row>
    <row r="3" spans="1:12">
      <c r="C3" s="7"/>
      <c r="D3" s="8"/>
      <c r="E3" s="8"/>
      <c r="F3" s="8"/>
      <c r="G3" s="7"/>
      <c r="H3" s="23"/>
      <c r="I3" s="18"/>
      <c r="J3" s="18"/>
      <c r="K3" s="9"/>
    </row>
    <row r="4" spans="1:12" ht="16.2">
      <c r="B4" s="104" t="s">
        <v>11</v>
      </c>
      <c r="C4" s="104"/>
      <c r="D4" s="8"/>
      <c r="E4" s="8"/>
      <c r="F4" s="8"/>
      <c r="G4" s="7"/>
      <c r="H4" s="23"/>
      <c r="I4" s="18"/>
      <c r="J4" s="18"/>
      <c r="K4" s="9"/>
    </row>
    <row r="5" spans="1:12" ht="36" customHeight="1">
      <c r="B5" s="105"/>
      <c r="C5" s="105"/>
      <c r="D5" s="105"/>
      <c r="E5" s="105"/>
      <c r="F5" s="105"/>
      <c r="G5" s="105"/>
      <c r="H5" s="105"/>
      <c r="I5" s="105"/>
      <c r="J5" s="105"/>
      <c r="K5" s="105"/>
    </row>
    <row r="6" spans="1:12">
      <c r="B6" s="10"/>
      <c r="C6" s="10"/>
      <c r="G6" s="10"/>
      <c r="K6" s="10"/>
    </row>
    <row r="7" spans="1:12">
      <c r="B7" s="30" t="s">
        <v>12</v>
      </c>
      <c r="C7" s="30" t="s">
        <v>13</v>
      </c>
      <c r="D7" s="106" t="s">
        <v>14</v>
      </c>
      <c r="E7" s="106"/>
      <c r="F7" s="30" t="s">
        <v>15</v>
      </c>
      <c r="G7" s="30" t="s">
        <v>16</v>
      </c>
      <c r="K7" s="6"/>
      <c r="L7" s="6"/>
    </row>
    <row r="8" spans="1:12">
      <c r="B8" s="31" t="s">
        <v>17</v>
      </c>
      <c r="C8" s="32" t="s">
        <v>18</v>
      </c>
      <c r="D8" s="42" t="s">
        <v>19</v>
      </c>
      <c r="E8" s="41"/>
      <c r="F8" s="33" t="s">
        <v>20</v>
      </c>
      <c r="G8" s="33" t="s">
        <v>21</v>
      </c>
      <c r="K8" s="6"/>
      <c r="L8" s="6"/>
    </row>
    <row r="10" spans="1:12">
      <c r="A10" s="10"/>
      <c r="B10" s="102"/>
      <c r="C10" s="102" t="s">
        <v>22</v>
      </c>
      <c r="D10" s="102" t="s">
        <v>23</v>
      </c>
      <c r="E10" s="102"/>
      <c r="F10" s="102"/>
      <c r="G10" s="102" t="s">
        <v>24</v>
      </c>
      <c r="H10" s="107" t="s">
        <v>25</v>
      </c>
      <c r="I10" s="101" t="s">
        <v>26</v>
      </c>
      <c r="J10" s="101"/>
      <c r="K10" s="101" t="s">
        <v>27</v>
      </c>
      <c r="L10" s="10"/>
    </row>
    <row r="11" spans="1:12">
      <c r="A11" s="10"/>
      <c r="B11" s="102"/>
      <c r="C11" s="102"/>
      <c r="D11" s="102"/>
      <c r="E11" s="102"/>
      <c r="F11" s="102"/>
      <c r="G11" s="102"/>
      <c r="H11" s="108"/>
      <c r="I11" s="25" t="s">
        <v>28</v>
      </c>
      <c r="J11" s="25" t="s">
        <v>29</v>
      </c>
      <c r="K11" s="102"/>
      <c r="L11" s="10"/>
    </row>
    <row r="12" spans="1:12" ht="63">
      <c r="A12" s="10"/>
      <c r="B12" s="19"/>
      <c r="C12" s="19" t="s">
        <v>30</v>
      </c>
      <c r="D12" s="103" t="s">
        <v>31</v>
      </c>
      <c r="E12" s="103"/>
      <c r="F12" s="103"/>
      <c r="G12" s="87" t="s">
        <v>32</v>
      </c>
      <c r="H12" s="19"/>
      <c r="I12" s="47" t="s">
        <v>33</v>
      </c>
      <c r="J12" s="53">
        <v>1.0416666666666666E-2</v>
      </c>
      <c r="K12" s="19"/>
      <c r="L12" s="10"/>
    </row>
    <row r="13" spans="1:12" ht="25.2">
      <c r="A13" s="10"/>
      <c r="B13" s="19"/>
      <c r="C13" s="19" t="s">
        <v>34</v>
      </c>
      <c r="D13" s="103" t="s">
        <v>35</v>
      </c>
      <c r="E13" s="103"/>
      <c r="F13" s="103"/>
      <c r="G13" s="87" t="s">
        <v>36</v>
      </c>
      <c r="H13" s="19"/>
      <c r="I13" s="47" t="s">
        <v>33</v>
      </c>
      <c r="J13" s="53">
        <v>1.0416666666666666E-2</v>
      </c>
      <c r="K13" s="19"/>
      <c r="L13" s="10"/>
    </row>
  </sheetData>
  <mergeCells count="12">
    <mergeCell ref="K10:K11"/>
    <mergeCell ref="D13:F13"/>
    <mergeCell ref="B4:C4"/>
    <mergeCell ref="B5:K5"/>
    <mergeCell ref="D7:E7"/>
    <mergeCell ref="B10:B11"/>
    <mergeCell ref="C10:C11"/>
    <mergeCell ref="D10:F11"/>
    <mergeCell ref="G10:G11"/>
    <mergeCell ref="H10:H11"/>
    <mergeCell ref="I10:J10"/>
    <mergeCell ref="D12:F12"/>
  </mergeCells>
  <phoneticPr fontId="3"/>
  <pageMargins left="0.7" right="0.7" top="0.75" bottom="0.75" header="0.3" footer="0.3"/>
  <pageSetup paperSize="9" scale="31" orientation="portrait"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100-000000000000}">
          <x14:formula1>
            <xm:f>master!#REF!</xm:f>
          </x14:formula1>
          <xm:sqref>H12:H13</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N192"/>
  <sheetViews>
    <sheetView showGridLines="0" view="pageBreakPreview" zoomScale="90" zoomScaleNormal="100" zoomScaleSheetLayoutView="90" workbookViewId="0"/>
  </sheetViews>
  <sheetFormatPr defaultColWidth="9" defaultRowHeight="15"/>
  <cols>
    <col min="1" max="1" width="4.33203125" style="1" customWidth="1"/>
    <col min="2" max="2" width="8.33203125" style="1" customWidth="1"/>
    <col min="3" max="3" width="60.33203125" style="1" bestFit="1" customWidth="1"/>
    <col min="4" max="4" width="23.44140625" style="1" bestFit="1" customWidth="1"/>
    <col min="5" max="5" width="32" style="1" customWidth="1"/>
    <col min="6" max="6" width="25.6640625" style="10" customWidth="1"/>
    <col min="7" max="7" width="9.6640625" style="10" bestFit="1" customWidth="1"/>
    <col min="8" max="8" width="7.109375" style="1" bestFit="1" customWidth="1"/>
    <col min="9" max="9" width="5.33203125" style="10" bestFit="1" customWidth="1"/>
    <col min="10" max="10" width="6" style="10" bestFit="1" customWidth="1"/>
    <col min="11" max="11" width="38.44140625" style="10" customWidth="1"/>
    <col min="12" max="12" width="6.44140625" style="1" customWidth="1"/>
    <col min="13" max="13" width="38.44140625" style="1" customWidth="1"/>
    <col min="14" max="14" width="4.6640625" style="1" customWidth="1"/>
    <col min="15" max="16384" width="9" style="6"/>
  </cols>
  <sheetData>
    <row r="2" spans="2:14" ht="36.75" customHeight="1">
      <c r="B2" s="2" t="s">
        <v>37</v>
      </c>
      <c r="C2" s="3"/>
      <c r="D2" s="3"/>
      <c r="E2" s="3"/>
      <c r="F2" s="4"/>
      <c r="G2" s="4"/>
      <c r="H2" s="3"/>
      <c r="I2" s="17"/>
      <c r="J2" s="17"/>
      <c r="K2" s="17"/>
      <c r="L2" s="9"/>
      <c r="M2" s="5"/>
    </row>
    <row r="3" spans="2:14">
      <c r="C3" s="7"/>
      <c r="D3" s="7"/>
      <c r="E3" s="7"/>
      <c r="F3" s="8"/>
      <c r="G3" s="8"/>
      <c r="H3" s="7"/>
      <c r="I3" s="18"/>
      <c r="J3" s="18"/>
      <c r="K3" s="18"/>
      <c r="L3" s="9"/>
      <c r="M3" s="9"/>
    </row>
    <row r="4" spans="2:14" ht="16.2">
      <c r="B4" s="104" t="s">
        <v>11</v>
      </c>
      <c r="C4" s="104"/>
      <c r="D4" s="104"/>
      <c r="E4" s="104"/>
      <c r="F4" s="8"/>
      <c r="G4" s="8"/>
      <c r="H4" s="7"/>
      <c r="I4" s="18"/>
      <c r="J4" s="18"/>
      <c r="K4" s="18"/>
      <c r="L4" s="9"/>
      <c r="M4" s="9"/>
    </row>
    <row r="5" spans="2:14" ht="36" customHeight="1">
      <c r="B5" s="126"/>
      <c r="C5" s="126"/>
      <c r="D5" s="126"/>
      <c r="E5" s="126"/>
      <c r="F5" s="126"/>
      <c r="G5" s="126"/>
      <c r="H5" s="126"/>
      <c r="I5" s="126"/>
      <c r="J5" s="126"/>
      <c r="K5" s="126"/>
      <c r="L5" s="26"/>
      <c r="M5" s="27"/>
    </row>
    <row r="6" spans="2:14">
      <c r="B6" s="10"/>
      <c r="C6" s="10"/>
      <c r="D6" s="10"/>
      <c r="E6" s="10"/>
      <c r="H6" s="10"/>
      <c r="L6" s="10"/>
      <c r="M6" s="10"/>
    </row>
    <row r="7" spans="2:14">
      <c r="B7" s="30" t="s">
        <v>12</v>
      </c>
      <c r="C7" s="30" t="s">
        <v>13</v>
      </c>
      <c r="D7" s="106" t="s">
        <v>14</v>
      </c>
      <c r="E7" s="106"/>
      <c r="F7" s="30" t="s">
        <v>15</v>
      </c>
      <c r="G7" s="30" t="s">
        <v>16</v>
      </c>
      <c r="I7" s="45"/>
      <c r="J7" s="6"/>
      <c r="K7" s="6"/>
      <c r="L7" s="6"/>
      <c r="M7" s="6"/>
      <c r="N7" s="6"/>
    </row>
    <row r="8" spans="2:14">
      <c r="B8" s="31" t="s">
        <v>38</v>
      </c>
      <c r="C8" s="57" t="s">
        <v>39</v>
      </c>
      <c r="D8" s="42" t="s">
        <v>19</v>
      </c>
      <c r="E8" s="41"/>
      <c r="F8" s="33" t="s">
        <v>40</v>
      </c>
      <c r="G8" s="33" t="s">
        <v>21</v>
      </c>
      <c r="K8" s="6"/>
      <c r="L8" s="6"/>
      <c r="M8" s="6"/>
      <c r="N8" s="6"/>
    </row>
    <row r="9" spans="2:14">
      <c r="B9" s="31" t="s">
        <v>41</v>
      </c>
      <c r="C9" s="57" t="s">
        <v>42</v>
      </c>
      <c r="D9" s="42" t="s">
        <v>19</v>
      </c>
      <c r="E9" s="41"/>
      <c r="F9" s="33" t="s">
        <v>40</v>
      </c>
      <c r="G9" s="33" t="s">
        <v>21</v>
      </c>
      <c r="K9" s="6"/>
      <c r="L9" s="6"/>
      <c r="M9" s="6"/>
      <c r="N9" s="6"/>
    </row>
    <row r="10" spans="2:14">
      <c r="B10" s="31" t="s">
        <v>43</v>
      </c>
      <c r="C10" s="33" t="s">
        <v>44</v>
      </c>
      <c r="D10" s="42" t="s">
        <v>19</v>
      </c>
      <c r="E10" s="41"/>
      <c r="F10" s="33" t="s">
        <v>40</v>
      </c>
      <c r="G10" s="33" t="s">
        <v>21</v>
      </c>
      <c r="K10" s="6"/>
      <c r="L10" s="6"/>
      <c r="M10" s="6"/>
      <c r="N10" s="6"/>
    </row>
    <row r="11" spans="2:14">
      <c r="B11" s="31" t="s">
        <v>45</v>
      </c>
      <c r="C11" s="57" t="s">
        <v>46</v>
      </c>
      <c r="D11" s="42" t="s">
        <v>19</v>
      </c>
      <c r="E11" s="41"/>
      <c r="F11" s="33" t="s">
        <v>40</v>
      </c>
      <c r="G11" s="33" t="s">
        <v>21</v>
      </c>
      <c r="K11" s="6"/>
      <c r="L11" s="6"/>
      <c r="M11" s="6"/>
      <c r="N11" s="6"/>
    </row>
    <row r="12" spans="2:14">
      <c r="B12" s="31" t="s">
        <v>47</v>
      </c>
      <c r="C12" s="33" t="s">
        <v>436</v>
      </c>
      <c r="D12" s="42" t="s">
        <v>19</v>
      </c>
      <c r="E12" s="41"/>
      <c r="F12" s="33" t="s">
        <v>40</v>
      </c>
      <c r="G12" s="33" t="s">
        <v>21</v>
      </c>
      <c r="K12" s="6"/>
      <c r="L12" s="6"/>
      <c r="M12" s="6"/>
      <c r="N12" s="6"/>
    </row>
    <row r="13" spans="2:14">
      <c r="B13" s="31" t="s">
        <v>48</v>
      </c>
      <c r="C13" s="57" t="s">
        <v>440</v>
      </c>
      <c r="D13" s="42" t="s">
        <v>19</v>
      </c>
      <c r="E13" s="41"/>
      <c r="F13" s="33" t="s">
        <v>40</v>
      </c>
      <c r="G13" s="33" t="s">
        <v>21</v>
      </c>
      <c r="K13" s="6"/>
      <c r="L13" s="6"/>
      <c r="M13" s="6"/>
      <c r="N13" s="6"/>
    </row>
    <row r="14" spans="2:14">
      <c r="B14" s="31" t="s">
        <v>49</v>
      </c>
      <c r="C14" s="57" t="s">
        <v>437</v>
      </c>
      <c r="D14" s="42" t="s">
        <v>19</v>
      </c>
      <c r="E14" s="41"/>
      <c r="F14" s="33" t="s">
        <v>40</v>
      </c>
      <c r="G14" s="33" t="s">
        <v>21</v>
      </c>
      <c r="K14" s="6"/>
      <c r="L14" s="6"/>
      <c r="M14" s="6"/>
      <c r="N14" s="6"/>
    </row>
    <row r="15" spans="2:14">
      <c r="B15" s="31" t="s">
        <v>50</v>
      </c>
      <c r="C15" s="57" t="s">
        <v>438</v>
      </c>
      <c r="D15" s="42" t="s">
        <v>19</v>
      </c>
      <c r="E15" s="41"/>
      <c r="F15" s="33" t="s">
        <v>40</v>
      </c>
      <c r="G15" s="33" t="s">
        <v>21</v>
      </c>
      <c r="K15" s="6"/>
      <c r="L15" s="6"/>
      <c r="M15" s="6"/>
      <c r="N15" s="6"/>
    </row>
    <row r="16" spans="2:14">
      <c r="B16" s="31" t="s">
        <v>51</v>
      </c>
      <c r="C16" s="57" t="s">
        <v>439</v>
      </c>
      <c r="D16" s="42" t="s">
        <v>19</v>
      </c>
      <c r="E16" s="41"/>
      <c r="F16" s="33" t="s">
        <v>40</v>
      </c>
      <c r="G16" s="33" t="s">
        <v>21</v>
      </c>
      <c r="K16" s="6"/>
      <c r="L16" s="6"/>
      <c r="M16" s="6"/>
      <c r="N16" s="6"/>
    </row>
    <row r="17" spans="1:14">
      <c r="B17" s="31" t="s">
        <v>53</v>
      </c>
      <c r="C17" s="57" t="s">
        <v>52</v>
      </c>
      <c r="D17" s="42"/>
      <c r="E17" s="41"/>
      <c r="F17" s="33" t="s">
        <v>40</v>
      </c>
      <c r="G17" s="33" t="s">
        <v>21</v>
      </c>
      <c r="K17" s="6"/>
      <c r="L17" s="6"/>
      <c r="M17" s="6"/>
      <c r="N17" s="6"/>
    </row>
    <row r="18" spans="1:14">
      <c r="B18" s="31" t="s">
        <v>435</v>
      </c>
      <c r="C18" s="57" t="s">
        <v>446</v>
      </c>
      <c r="D18" s="42" t="s">
        <v>19</v>
      </c>
      <c r="E18" s="41"/>
      <c r="F18" s="33" t="s">
        <v>40</v>
      </c>
      <c r="G18" s="33" t="s">
        <v>21</v>
      </c>
      <c r="K18" s="6"/>
      <c r="L18" s="6"/>
      <c r="M18" s="6"/>
      <c r="N18" s="6"/>
    </row>
    <row r="20" spans="1:14" ht="24" customHeight="1">
      <c r="A20" s="10"/>
      <c r="B20" s="102" t="s">
        <v>54</v>
      </c>
      <c r="C20" s="102" t="s">
        <v>22</v>
      </c>
      <c r="D20" s="102" t="s">
        <v>23</v>
      </c>
      <c r="E20" s="102"/>
      <c r="F20" s="102"/>
      <c r="G20" s="102" t="s">
        <v>24</v>
      </c>
      <c r="H20" s="101" t="s">
        <v>25</v>
      </c>
      <c r="I20" s="124" t="s">
        <v>26</v>
      </c>
      <c r="J20" s="125"/>
      <c r="K20" s="101" t="s">
        <v>55</v>
      </c>
      <c r="L20" s="6"/>
      <c r="M20" s="6"/>
      <c r="N20" s="6"/>
    </row>
    <row r="21" spans="1:14">
      <c r="A21" s="10"/>
      <c r="B21" s="102"/>
      <c r="C21" s="102"/>
      <c r="D21" s="102"/>
      <c r="E21" s="102"/>
      <c r="F21" s="102"/>
      <c r="G21" s="102"/>
      <c r="H21" s="101"/>
      <c r="I21" s="25" t="s">
        <v>28</v>
      </c>
      <c r="J21" s="25" t="s">
        <v>29</v>
      </c>
      <c r="K21" s="102"/>
      <c r="L21" s="6"/>
      <c r="M21" s="6"/>
      <c r="N21" s="6"/>
    </row>
    <row r="22" spans="1:14" ht="151.19999999999999">
      <c r="A22" s="10"/>
      <c r="B22" s="75" t="str">
        <f>master!B3</f>
        <v>バイブコーディングの導入</v>
      </c>
      <c r="C22" s="48" t="str">
        <f>master!C3</f>
        <v>講義の目的</v>
      </c>
      <c r="D22" s="118" t="s">
        <v>56</v>
      </c>
      <c r="E22" s="119"/>
      <c r="F22" s="120"/>
      <c r="G22" s="48" t="s">
        <v>57</v>
      </c>
      <c r="H22" s="12"/>
      <c r="I22" s="46" t="s">
        <v>33</v>
      </c>
      <c r="J22" s="44">
        <v>2.0833333333333333E-3</v>
      </c>
      <c r="K22" s="40"/>
      <c r="L22" s="6"/>
      <c r="M22" s="6"/>
      <c r="N22" s="6"/>
    </row>
    <row r="23" spans="1:14" ht="138.6" customHeight="1">
      <c r="A23" s="10"/>
      <c r="B23" s="112" t="str">
        <f>master!B4</f>
        <v>Webアプリケーションとは</v>
      </c>
      <c r="C23" s="48" t="str">
        <f>master!C4</f>
        <v>Webアプリケーションとは</v>
      </c>
      <c r="D23" s="118" t="s">
        <v>58</v>
      </c>
      <c r="E23" s="119"/>
      <c r="F23" s="120"/>
      <c r="G23" s="48" t="s">
        <v>59</v>
      </c>
      <c r="H23" s="12"/>
      <c r="I23" s="46" t="s">
        <v>33</v>
      </c>
      <c r="J23" s="44">
        <v>3.472222222222222E-3</v>
      </c>
      <c r="K23" s="40"/>
      <c r="L23" s="6"/>
      <c r="M23" s="6"/>
      <c r="N23" s="6"/>
    </row>
    <row r="24" spans="1:14" ht="75.599999999999994">
      <c r="A24" s="11"/>
      <c r="B24" s="113"/>
      <c r="C24" s="48" t="str">
        <f>master!C5</f>
        <v>Webアプリケーションの種類</v>
      </c>
      <c r="D24" s="118" t="s">
        <v>60</v>
      </c>
      <c r="E24" s="119"/>
      <c r="F24" s="120"/>
      <c r="G24" s="48" t="s">
        <v>61</v>
      </c>
      <c r="H24" s="12"/>
      <c r="I24" s="46" t="s">
        <v>33</v>
      </c>
      <c r="J24" s="44">
        <v>3.472222222222222E-3</v>
      </c>
      <c r="K24" s="40"/>
      <c r="L24" s="6"/>
      <c r="M24" s="6"/>
      <c r="N24" s="6"/>
    </row>
    <row r="25" spans="1:14" ht="37.799999999999997">
      <c r="A25" s="11"/>
      <c r="B25" s="113"/>
      <c r="C25" s="48" t="str">
        <f>master!C6</f>
        <v>アプリケーションとは</v>
      </c>
      <c r="D25" s="118" t="s">
        <v>62</v>
      </c>
      <c r="E25" s="119"/>
      <c r="F25" s="120"/>
      <c r="G25" s="48" t="s">
        <v>63</v>
      </c>
      <c r="H25" s="12"/>
      <c r="I25" s="46" t="s">
        <v>33</v>
      </c>
      <c r="J25" s="44">
        <v>2.0833333333333333E-3</v>
      </c>
      <c r="K25" s="40"/>
      <c r="L25" s="6"/>
      <c r="M25" s="6"/>
      <c r="N25" s="6"/>
    </row>
    <row r="26" spans="1:14" ht="63">
      <c r="A26" s="11"/>
      <c r="B26" s="113"/>
      <c r="C26" s="48" t="str">
        <f>master!C7</f>
        <v>Web画面アプリケーション</v>
      </c>
      <c r="D26" s="118" t="s">
        <v>64</v>
      </c>
      <c r="E26" s="119"/>
      <c r="F26" s="120"/>
      <c r="G26" s="48" t="s">
        <v>65</v>
      </c>
      <c r="H26" s="12"/>
      <c r="I26" s="46" t="s">
        <v>33</v>
      </c>
      <c r="J26" s="44">
        <v>2.0833333333333333E-3</v>
      </c>
      <c r="K26" s="40"/>
      <c r="L26" s="6"/>
      <c r="M26" s="6"/>
      <c r="N26" s="6"/>
    </row>
    <row r="27" spans="1:14" ht="63">
      <c r="A27" s="11"/>
      <c r="B27" s="113"/>
      <c r="C27" s="48"/>
      <c r="D27" s="118" t="s">
        <v>66</v>
      </c>
      <c r="E27" s="119"/>
      <c r="F27" s="120"/>
      <c r="G27" s="48" t="s">
        <v>65</v>
      </c>
      <c r="H27" s="12"/>
      <c r="I27" s="46" t="s">
        <v>33</v>
      </c>
      <c r="J27" s="44">
        <v>6.9444444444444447E-4</v>
      </c>
      <c r="K27" s="40"/>
      <c r="L27" s="6"/>
      <c r="M27" s="6"/>
      <c r="N27" s="6"/>
    </row>
    <row r="28" spans="1:14" ht="113.4">
      <c r="A28" s="11"/>
      <c r="B28" s="114"/>
      <c r="C28" s="48" t="str">
        <f>master!C8</f>
        <v>ブラウザからのリクエスト種類</v>
      </c>
      <c r="D28" s="118" t="s">
        <v>67</v>
      </c>
      <c r="E28" s="119"/>
      <c r="F28" s="120"/>
      <c r="G28" s="48" t="s">
        <v>68</v>
      </c>
      <c r="H28" s="12"/>
      <c r="I28" s="46" t="s">
        <v>33</v>
      </c>
      <c r="J28" s="44">
        <v>2.0833333333333333E-3</v>
      </c>
      <c r="K28" s="40"/>
      <c r="L28" s="6"/>
      <c r="M28" s="6"/>
      <c r="N28" s="6"/>
    </row>
    <row r="29" spans="1:14" ht="102" customHeight="1">
      <c r="A29" s="11"/>
      <c r="B29" s="112" t="str">
        <f>master!B9</f>
        <v>データベースとは</v>
      </c>
      <c r="C29" s="48" t="str">
        <f>master!C9</f>
        <v>データベースとは</v>
      </c>
      <c r="D29" s="118" t="s">
        <v>69</v>
      </c>
      <c r="E29" s="119"/>
      <c r="F29" s="120"/>
      <c r="G29" s="48" t="s">
        <v>63</v>
      </c>
      <c r="H29" s="12"/>
      <c r="I29" s="46" t="s">
        <v>33</v>
      </c>
      <c r="J29" s="44">
        <v>2.0833333333333333E-3</v>
      </c>
      <c r="K29" s="40"/>
      <c r="L29" s="6"/>
      <c r="M29" s="6"/>
      <c r="N29" s="6"/>
    </row>
    <row r="30" spans="1:14" ht="88.2">
      <c r="A30" s="11"/>
      <c r="B30" s="113"/>
      <c r="C30" s="48" t="str">
        <f>master!C10</f>
        <v>リレーショナルデータベース</v>
      </c>
      <c r="D30" s="118" t="s">
        <v>70</v>
      </c>
      <c r="E30" s="119"/>
      <c r="F30" s="120"/>
      <c r="G30" s="48" t="s">
        <v>71</v>
      </c>
      <c r="H30" s="12"/>
      <c r="I30" s="46" t="s">
        <v>33</v>
      </c>
      <c r="J30" s="44">
        <v>3.472222222222222E-3</v>
      </c>
      <c r="K30" s="40"/>
      <c r="L30" s="6"/>
      <c r="M30" s="6"/>
      <c r="N30" s="6"/>
    </row>
    <row r="31" spans="1:14" ht="25.2">
      <c r="A31" s="11"/>
      <c r="B31" s="113"/>
      <c r="C31" s="48" t="str">
        <f>master!C11</f>
        <v>データベースの役割</v>
      </c>
      <c r="D31" s="118" t="s">
        <v>72</v>
      </c>
      <c r="E31" s="119"/>
      <c r="F31" s="120"/>
      <c r="G31" s="48" t="s">
        <v>73</v>
      </c>
      <c r="H31" s="12"/>
      <c r="I31" s="46" t="s">
        <v>33</v>
      </c>
      <c r="J31" s="44">
        <v>3.472222222222222E-3</v>
      </c>
      <c r="K31" s="40" t="s">
        <v>74</v>
      </c>
      <c r="L31" s="6"/>
      <c r="M31" s="6"/>
      <c r="N31" s="6"/>
    </row>
    <row r="32" spans="1:14" ht="75.599999999999994">
      <c r="A32" s="11"/>
      <c r="B32" s="113"/>
      <c r="C32" s="48" t="str">
        <f>master!C12</f>
        <v>2.1.テーブル</v>
      </c>
      <c r="D32" s="118" t="s">
        <v>75</v>
      </c>
      <c r="E32" s="119"/>
      <c r="F32" s="120"/>
      <c r="G32" s="48" t="s">
        <v>61</v>
      </c>
      <c r="H32" s="12"/>
      <c r="I32" s="46" t="s">
        <v>33</v>
      </c>
      <c r="J32" s="44">
        <v>2.0833333333333333E-3</v>
      </c>
      <c r="K32" s="40"/>
      <c r="L32" s="6"/>
      <c r="M32" s="6"/>
      <c r="N32" s="6"/>
    </row>
    <row r="33" spans="1:14" ht="100.8">
      <c r="A33" s="11"/>
      <c r="B33" s="113"/>
      <c r="C33" s="48" t="str">
        <f>master!C13</f>
        <v>2.2.データ型１</v>
      </c>
      <c r="D33" s="118" t="s">
        <v>76</v>
      </c>
      <c r="E33" s="119"/>
      <c r="F33" s="120"/>
      <c r="G33" s="48" t="s">
        <v>77</v>
      </c>
      <c r="H33" s="12"/>
      <c r="I33" s="46" t="s">
        <v>33</v>
      </c>
      <c r="J33" s="44">
        <v>2.0833333333333333E-3</v>
      </c>
      <c r="K33" s="40"/>
      <c r="L33" s="6"/>
      <c r="M33" s="6"/>
      <c r="N33" s="6"/>
    </row>
    <row r="34" spans="1:14" ht="37.799999999999997">
      <c r="A34" s="11"/>
      <c r="B34" s="113"/>
      <c r="C34" s="48" t="str">
        <f>master!C14</f>
        <v>2.2.データ型２</v>
      </c>
      <c r="D34" s="118" t="s">
        <v>78</v>
      </c>
      <c r="E34" s="119"/>
      <c r="F34" s="120"/>
      <c r="G34" s="48" t="s">
        <v>63</v>
      </c>
      <c r="H34" s="12"/>
      <c r="I34" s="46" t="s">
        <v>33</v>
      </c>
      <c r="J34" s="44">
        <v>2.0833333333333333E-3</v>
      </c>
      <c r="K34" s="40"/>
      <c r="L34" s="6"/>
      <c r="M34" s="6"/>
      <c r="N34" s="6"/>
    </row>
    <row r="35" spans="1:14" ht="37.799999999999997">
      <c r="A35" s="11"/>
      <c r="B35" s="113"/>
      <c r="C35" s="48" t="str">
        <f>master!C15</f>
        <v>2.3.リレーション</v>
      </c>
      <c r="D35" s="118" t="s">
        <v>79</v>
      </c>
      <c r="E35" s="119"/>
      <c r="F35" s="120"/>
      <c r="G35" s="48" t="s">
        <v>63</v>
      </c>
      <c r="H35" s="12"/>
      <c r="I35" s="46" t="s">
        <v>33</v>
      </c>
      <c r="J35" s="44">
        <v>3.472222222222222E-3</v>
      </c>
      <c r="K35" s="40"/>
      <c r="L35" s="6"/>
      <c r="M35" s="6"/>
      <c r="N35" s="6"/>
    </row>
    <row r="36" spans="1:14" ht="37.799999999999997">
      <c r="A36" s="11"/>
      <c r="B36" s="114"/>
      <c r="C36" s="48" t="str">
        <f>master!C16</f>
        <v>2.4.データを結合して取得（Join）</v>
      </c>
      <c r="D36" s="118" t="s">
        <v>80</v>
      </c>
      <c r="E36" s="119"/>
      <c r="F36" s="120"/>
      <c r="G36" s="48" t="s">
        <v>63</v>
      </c>
      <c r="H36" s="12"/>
      <c r="I36" s="46" t="s">
        <v>33</v>
      </c>
      <c r="J36" s="44">
        <v>2.0833333333333333E-3</v>
      </c>
      <c r="K36" s="40"/>
      <c r="L36" s="6"/>
      <c r="M36" s="6"/>
      <c r="N36" s="6"/>
    </row>
    <row r="37" spans="1:14" ht="88.2">
      <c r="A37" s="11"/>
      <c r="B37" s="112" t="str">
        <f>master!B17</f>
        <v>Java言語、Springフレームワークとは</v>
      </c>
      <c r="C37" s="48" t="str">
        <f>master!C17</f>
        <v>Webアプリケーションを作成するためのプログラミング言語</v>
      </c>
      <c r="D37" s="118" t="s">
        <v>81</v>
      </c>
      <c r="E37" s="119"/>
      <c r="F37" s="120"/>
      <c r="G37" s="48" t="s">
        <v>71</v>
      </c>
      <c r="H37" s="12"/>
      <c r="I37" s="46" t="s">
        <v>33</v>
      </c>
      <c r="J37" s="44">
        <v>2.0833333333333333E-3</v>
      </c>
      <c r="K37" s="40"/>
      <c r="L37" s="6"/>
      <c r="M37" s="6"/>
      <c r="N37" s="6"/>
    </row>
    <row r="38" spans="1:14" ht="75.599999999999994">
      <c r="A38" s="11"/>
      <c r="B38" s="113"/>
      <c r="C38" s="48" t="str">
        <f>master!C18</f>
        <v>Java</v>
      </c>
      <c r="D38" s="118" t="s">
        <v>82</v>
      </c>
      <c r="E38" s="119"/>
      <c r="F38" s="120"/>
      <c r="G38" s="48" t="s">
        <v>61</v>
      </c>
      <c r="H38" s="12"/>
      <c r="I38" s="46" t="s">
        <v>33</v>
      </c>
      <c r="J38" s="44">
        <v>3.472222222222222E-3</v>
      </c>
      <c r="K38" s="40"/>
      <c r="L38" s="6"/>
      <c r="M38" s="6"/>
      <c r="N38" s="6"/>
    </row>
    <row r="39" spans="1:14" ht="75.599999999999994">
      <c r="A39" s="11"/>
      <c r="B39" s="113"/>
      <c r="C39" s="48" t="str">
        <f>master!C19</f>
        <v>Java言語の構成要素</v>
      </c>
      <c r="D39" s="118" t="s">
        <v>83</v>
      </c>
      <c r="E39" s="119"/>
      <c r="F39" s="120"/>
      <c r="G39" s="48" t="s">
        <v>61</v>
      </c>
      <c r="H39" s="12"/>
      <c r="I39" s="46" t="s">
        <v>33</v>
      </c>
      <c r="J39" s="44">
        <v>2.0833333333333333E-3</v>
      </c>
      <c r="K39" s="40"/>
      <c r="L39" s="6"/>
      <c r="M39" s="6"/>
      <c r="N39" s="6"/>
    </row>
    <row r="40" spans="1:14" ht="25.2">
      <c r="A40" s="11"/>
      <c r="B40" s="113"/>
      <c r="C40" s="48" t="str">
        <f>master!C20</f>
        <v>Webアプリケーションを構成するクラス</v>
      </c>
      <c r="D40" s="118" t="s">
        <v>445</v>
      </c>
      <c r="E40" s="119"/>
      <c r="F40" s="120"/>
      <c r="G40" s="48" t="s">
        <v>73</v>
      </c>
      <c r="H40" s="12"/>
      <c r="I40" s="46" t="s">
        <v>33</v>
      </c>
      <c r="J40" s="44">
        <v>3.472222222222222E-3</v>
      </c>
      <c r="K40" s="40"/>
      <c r="L40" s="6"/>
      <c r="M40" s="6"/>
      <c r="N40" s="6"/>
    </row>
    <row r="41" spans="1:14" ht="88.2">
      <c r="A41" s="11"/>
      <c r="B41" s="113"/>
      <c r="C41" s="48" t="str">
        <f>master!C21</f>
        <v>Nレイヤーアーキテクチャ</v>
      </c>
      <c r="D41" s="118" t="s">
        <v>85</v>
      </c>
      <c r="E41" s="119"/>
      <c r="F41" s="120"/>
      <c r="G41" s="48" t="s">
        <v>71</v>
      </c>
      <c r="H41" s="12"/>
      <c r="I41" s="46" t="s">
        <v>33</v>
      </c>
      <c r="J41" s="44">
        <v>3.472222222222222E-3</v>
      </c>
      <c r="K41" s="40" t="s">
        <v>74</v>
      </c>
      <c r="L41" s="6"/>
      <c r="M41" s="6"/>
      <c r="N41" s="6"/>
    </row>
    <row r="42" spans="1:14" ht="201.6">
      <c r="A42" s="11"/>
      <c r="B42" s="113"/>
      <c r="C42" s="48" t="str">
        <f>master!C22</f>
        <v>View と Controller と Service と Repository</v>
      </c>
      <c r="D42" s="118" t="s">
        <v>86</v>
      </c>
      <c r="E42" s="119"/>
      <c r="F42" s="120"/>
      <c r="G42" s="48" t="s">
        <v>87</v>
      </c>
      <c r="H42" s="12"/>
      <c r="I42" s="46" t="s">
        <v>88</v>
      </c>
      <c r="J42" s="44">
        <v>3.472222222222222E-3</v>
      </c>
      <c r="K42" s="40"/>
      <c r="L42" s="6"/>
      <c r="M42" s="6"/>
      <c r="N42" s="6"/>
    </row>
    <row r="43" spans="1:14" ht="37.799999999999997">
      <c r="A43" s="11"/>
      <c r="B43" s="113"/>
      <c r="C43" s="48" t="str">
        <f>master!C23</f>
        <v>Nレイヤーアーキテクチャ</v>
      </c>
      <c r="D43" s="118" t="s">
        <v>89</v>
      </c>
      <c r="E43" s="119"/>
      <c r="F43" s="120"/>
      <c r="G43" s="48" t="s">
        <v>63</v>
      </c>
      <c r="H43" s="12"/>
      <c r="I43" s="46" t="s">
        <v>33</v>
      </c>
      <c r="J43" s="44">
        <v>2.0833333333333333E-3</v>
      </c>
      <c r="K43" s="40"/>
      <c r="L43" s="6"/>
      <c r="M43" s="6"/>
      <c r="N43" s="6"/>
    </row>
    <row r="44" spans="1:14" ht="163.80000000000001">
      <c r="A44" s="11"/>
      <c r="B44" s="113"/>
      <c r="C44" s="48" t="str">
        <f>master!C24</f>
        <v>Webアプリケーション フレームワーク</v>
      </c>
      <c r="D44" s="118" t="s">
        <v>90</v>
      </c>
      <c r="E44" s="119"/>
      <c r="F44" s="120"/>
      <c r="G44" s="48" t="s">
        <v>91</v>
      </c>
      <c r="H44" s="12"/>
      <c r="I44" s="46" t="s">
        <v>33</v>
      </c>
      <c r="J44" s="44">
        <v>3.472222222222222E-3</v>
      </c>
      <c r="K44" s="40"/>
      <c r="L44" s="6"/>
      <c r="M44" s="6"/>
      <c r="N44" s="6"/>
    </row>
    <row r="45" spans="1:14" ht="25.2">
      <c r="A45" s="11"/>
      <c r="B45" s="113"/>
      <c r="C45" s="48" t="str">
        <f>master!C25</f>
        <v>Java向けWebアプリケーションフレームワーク</v>
      </c>
      <c r="D45" s="118" t="s">
        <v>92</v>
      </c>
      <c r="E45" s="119"/>
      <c r="F45" s="120"/>
      <c r="G45" s="48" t="s">
        <v>73</v>
      </c>
      <c r="H45" s="12"/>
      <c r="I45" s="46" t="s">
        <v>33</v>
      </c>
      <c r="J45" s="44">
        <v>6.9444444444444447E-4</v>
      </c>
      <c r="K45" s="40"/>
      <c r="L45" s="6"/>
      <c r="M45" s="6"/>
      <c r="N45" s="6"/>
    </row>
    <row r="46" spans="1:14" ht="189">
      <c r="A46" s="11"/>
      <c r="B46" s="113"/>
      <c r="C46" s="48" t="str">
        <f>master!C26</f>
        <v>Springフレームワーク</v>
      </c>
      <c r="D46" s="118" t="s">
        <v>93</v>
      </c>
      <c r="E46" s="119"/>
      <c r="F46" s="120"/>
      <c r="G46" s="48" t="s">
        <v>94</v>
      </c>
      <c r="H46" s="12"/>
      <c r="I46" s="46" t="s">
        <v>33</v>
      </c>
      <c r="J46" s="44">
        <v>3.472222222222222E-3</v>
      </c>
      <c r="K46" s="40"/>
      <c r="L46" s="6"/>
      <c r="M46" s="6"/>
      <c r="N46" s="6"/>
    </row>
    <row r="47" spans="1:14" ht="88.2">
      <c r="A47" s="11"/>
      <c r="B47" s="113"/>
      <c r="C47" s="48" t="str">
        <f>master!C27</f>
        <v>Springフレームワーク：DIコンテナとは</v>
      </c>
      <c r="D47" s="118" t="s">
        <v>95</v>
      </c>
      <c r="E47" s="119"/>
      <c r="F47" s="120"/>
      <c r="G47" s="48" t="s">
        <v>71</v>
      </c>
      <c r="H47" s="12"/>
      <c r="I47" s="46" t="s">
        <v>33</v>
      </c>
      <c r="J47" s="44">
        <v>3.472222222222222E-3</v>
      </c>
      <c r="K47" s="40" t="s">
        <v>74</v>
      </c>
      <c r="L47" s="6"/>
      <c r="M47" s="6"/>
      <c r="N47" s="6"/>
    </row>
    <row r="48" spans="1:14" ht="63">
      <c r="A48" s="11"/>
      <c r="B48" s="113"/>
      <c r="C48" s="48" t="str">
        <f>master!C28</f>
        <v>DIコンテナ：DIコンテナが部品を注入する</v>
      </c>
      <c r="D48" s="118" t="s">
        <v>96</v>
      </c>
      <c r="E48" s="119"/>
      <c r="F48" s="120"/>
      <c r="G48" s="48" t="s">
        <v>65</v>
      </c>
      <c r="H48" s="12"/>
      <c r="I48" s="46" t="s">
        <v>33</v>
      </c>
      <c r="J48" s="44">
        <v>2.0833333333333333E-3</v>
      </c>
      <c r="K48" s="40"/>
      <c r="L48" s="6"/>
      <c r="M48" s="6"/>
      <c r="N48" s="6"/>
    </row>
    <row r="49" spans="1:14" ht="100.8">
      <c r="A49" s="11"/>
      <c r="B49" s="113"/>
      <c r="C49" s="48" t="str">
        <f>master!C29</f>
        <v>DIコンテナ：DIコンテナによる部品と注入対象になるための目印</v>
      </c>
      <c r="D49" s="118" t="s">
        <v>97</v>
      </c>
      <c r="E49" s="119"/>
      <c r="F49" s="120"/>
      <c r="G49" s="48" t="s">
        <v>77</v>
      </c>
      <c r="H49" s="12"/>
      <c r="I49" s="46" t="s">
        <v>33</v>
      </c>
      <c r="J49" s="44">
        <v>2.0833333333333333E-3</v>
      </c>
      <c r="K49" s="40"/>
      <c r="L49" s="6"/>
      <c r="M49" s="6"/>
      <c r="N49" s="6"/>
    </row>
    <row r="50" spans="1:14" ht="100.8">
      <c r="A50" s="11"/>
      <c r="B50" s="113"/>
      <c r="C50" s="48" t="str">
        <f>master!C30</f>
        <v>Springフレームワークにおける部品の設定</v>
      </c>
      <c r="D50" s="118" t="s">
        <v>98</v>
      </c>
      <c r="E50" s="119"/>
      <c r="F50" s="120"/>
      <c r="G50" s="48" t="s">
        <v>77</v>
      </c>
      <c r="H50" s="12"/>
      <c r="I50" s="46" t="s">
        <v>33</v>
      </c>
      <c r="J50" s="44">
        <v>2.0833333333333333E-3</v>
      </c>
      <c r="K50" s="40"/>
      <c r="L50" s="6"/>
      <c r="M50" s="6"/>
      <c r="N50" s="6"/>
    </row>
    <row r="51" spans="1:14" ht="88.2">
      <c r="A51" s="11"/>
      <c r="B51" s="113"/>
      <c r="C51" s="48" t="str">
        <f>master!C31</f>
        <v>Spring Boot</v>
      </c>
      <c r="D51" s="118" t="s">
        <v>99</v>
      </c>
      <c r="E51" s="119"/>
      <c r="F51" s="120"/>
      <c r="G51" s="48" t="s">
        <v>71</v>
      </c>
      <c r="H51" s="12"/>
      <c r="I51" s="46" t="s">
        <v>33</v>
      </c>
      <c r="J51" s="44">
        <v>2.0833333333333333E-3</v>
      </c>
      <c r="K51" s="40"/>
      <c r="L51" s="6"/>
      <c r="M51" s="6"/>
      <c r="N51" s="6"/>
    </row>
    <row r="52" spans="1:14" ht="63">
      <c r="A52" s="11"/>
      <c r="B52" s="113"/>
      <c r="C52" s="48" t="str">
        <f>master!C32</f>
        <v>Spring Boot：オートコンフィグレーション</v>
      </c>
      <c r="D52" s="118" t="s">
        <v>100</v>
      </c>
      <c r="E52" s="119"/>
      <c r="F52" s="120"/>
      <c r="G52" s="48" t="s">
        <v>65</v>
      </c>
      <c r="H52" s="12"/>
      <c r="I52" s="46" t="s">
        <v>33</v>
      </c>
      <c r="J52" s="44">
        <v>2.0833333333333333E-3</v>
      </c>
      <c r="K52" s="40"/>
      <c r="L52" s="6"/>
      <c r="M52" s="6"/>
      <c r="N52" s="6"/>
    </row>
    <row r="53" spans="1:14" ht="50.4">
      <c r="A53" s="11"/>
      <c r="B53" s="113"/>
      <c r="C53" s="48" t="str">
        <f>master!C33</f>
        <v>Spring Boot：Starters</v>
      </c>
      <c r="D53" s="118" t="s">
        <v>101</v>
      </c>
      <c r="E53" s="119"/>
      <c r="F53" s="120"/>
      <c r="G53" s="48" t="s">
        <v>84</v>
      </c>
      <c r="H53" s="12"/>
      <c r="I53" s="46" t="s">
        <v>33</v>
      </c>
      <c r="J53" s="44">
        <v>1.3888888888888889E-3</v>
      </c>
      <c r="K53" s="40"/>
      <c r="L53" s="6"/>
      <c r="M53" s="6"/>
      <c r="N53" s="6"/>
    </row>
    <row r="54" spans="1:14" ht="88.2">
      <c r="A54" s="11"/>
      <c r="B54" s="113"/>
      <c r="C54" s="48" t="str">
        <f>master!C34</f>
        <v>Spring Boot：組込みWebAPサーバ</v>
      </c>
      <c r="D54" s="118" t="s">
        <v>102</v>
      </c>
      <c r="E54" s="119"/>
      <c r="F54" s="120"/>
      <c r="G54" s="48" t="s">
        <v>71</v>
      </c>
      <c r="H54" s="12"/>
      <c r="I54" s="46" t="s">
        <v>33</v>
      </c>
      <c r="J54" s="44">
        <v>1.3888888888888889E-3</v>
      </c>
      <c r="K54" s="40"/>
      <c r="L54" s="6"/>
      <c r="M54" s="6"/>
      <c r="N54" s="6"/>
    </row>
    <row r="55" spans="1:14" ht="25.2">
      <c r="A55" s="11"/>
      <c r="B55" s="114"/>
      <c r="C55" s="48" t="str">
        <f>master!C35</f>
        <v>おすすめ書籍：『プロになるためのSpring入門』</v>
      </c>
      <c r="D55" s="118"/>
      <c r="E55" s="119"/>
      <c r="F55" s="120"/>
      <c r="G55" s="48" t="s">
        <v>73</v>
      </c>
      <c r="H55" s="12"/>
      <c r="I55" s="46" t="s">
        <v>33</v>
      </c>
      <c r="J55" s="44">
        <v>6.9444444444444447E-4</v>
      </c>
      <c r="K55" s="40"/>
      <c r="L55" s="6"/>
      <c r="M55" s="6"/>
      <c r="N55" s="6"/>
    </row>
    <row r="56" spans="1:14" ht="37.799999999999997">
      <c r="A56" s="11"/>
      <c r="B56" s="115" t="str">
        <f>master!B37</f>
        <v>課題1の導入</v>
      </c>
      <c r="C56" s="58" t="str">
        <f>master!C37</f>
        <v>演習課題の概要</v>
      </c>
      <c r="D56" s="109" t="s">
        <v>103</v>
      </c>
      <c r="E56" s="110"/>
      <c r="F56" s="111"/>
      <c r="G56" s="58" t="s">
        <v>104</v>
      </c>
      <c r="H56" s="59"/>
      <c r="I56" s="60" t="s">
        <v>33</v>
      </c>
      <c r="J56" s="61">
        <v>6.9444444444444447E-4</v>
      </c>
      <c r="K56" s="62"/>
      <c r="L56" s="6"/>
      <c r="M56" s="6"/>
      <c r="N56" s="6"/>
    </row>
    <row r="57" spans="1:14" ht="37.799999999999997">
      <c r="A57" s="11"/>
      <c r="B57" s="116"/>
      <c r="C57" s="58" t="str">
        <f>master!C38</f>
        <v>作成物</v>
      </c>
      <c r="D57" s="109" t="s">
        <v>105</v>
      </c>
      <c r="E57" s="110"/>
      <c r="F57" s="111"/>
      <c r="G57" s="58" t="s">
        <v>104</v>
      </c>
      <c r="H57" s="59"/>
      <c r="I57" s="60" t="s">
        <v>33</v>
      </c>
      <c r="J57" s="61">
        <v>6.9444444444444447E-4</v>
      </c>
      <c r="K57" s="62"/>
      <c r="L57" s="6"/>
      <c r="M57" s="6"/>
      <c r="N57" s="6"/>
    </row>
    <row r="58" spans="1:14" ht="75.599999999999994">
      <c r="A58" s="11"/>
      <c r="B58" s="117"/>
      <c r="C58" s="58" t="str">
        <f>master!C39</f>
        <v>演習課題の進め方</v>
      </c>
      <c r="D58" s="109" t="s">
        <v>106</v>
      </c>
      <c r="E58" s="110"/>
      <c r="F58" s="111"/>
      <c r="G58" s="58" t="s">
        <v>107</v>
      </c>
      <c r="H58" s="59"/>
      <c r="I58" s="60" t="s">
        <v>33</v>
      </c>
      <c r="J58" s="61">
        <v>1.3888888888888888E-2</v>
      </c>
      <c r="K58" s="62"/>
      <c r="L58" s="6"/>
      <c r="M58" s="6"/>
      <c r="N58" s="6"/>
    </row>
    <row r="59" spans="1:14" ht="15" customHeight="1">
      <c r="A59" s="11"/>
      <c r="B59" s="115" t="str">
        <f>master!B40</f>
        <v>Spring Bootプロジェクトの_x000B_準備、起動確認</v>
      </c>
      <c r="C59" s="58" t="str">
        <f>master!C40</f>
        <v>前提条件</v>
      </c>
      <c r="D59" s="109"/>
      <c r="E59" s="110"/>
      <c r="F59" s="111"/>
      <c r="G59" s="58" t="s">
        <v>108</v>
      </c>
      <c r="H59" s="59"/>
      <c r="I59" s="60" t="s">
        <v>33</v>
      </c>
      <c r="J59" s="61">
        <v>6.9444444444444447E-4</v>
      </c>
      <c r="K59" s="62"/>
      <c r="L59" s="6"/>
      <c r="M59" s="6"/>
      <c r="N59" s="6"/>
    </row>
    <row r="60" spans="1:14" ht="37.799999999999997">
      <c r="A60" s="11"/>
      <c r="B60" s="116"/>
      <c r="C60" s="58" t="str">
        <f>master!C41</f>
        <v>Spring Bootプロジェクトの準備</v>
      </c>
      <c r="D60" s="109" t="s">
        <v>109</v>
      </c>
      <c r="E60" s="110"/>
      <c r="F60" s="111"/>
      <c r="G60" s="58" t="s">
        <v>104</v>
      </c>
      <c r="H60" s="59"/>
      <c r="I60" s="60" t="s">
        <v>33</v>
      </c>
      <c r="J60" s="61">
        <v>6.9444444444444441E-3</v>
      </c>
      <c r="K60" s="62"/>
      <c r="L60" s="6"/>
      <c r="M60" s="6"/>
      <c r="N60" s="6"/>
    </row>
    <row r="61" spans="1:14" ht="25.2">
      <c r="A61" s="11"/>
      <c r="B61" s="116"/>
      <c r="C61" s="58" t="str">
        <f>master!C42</f>
        <v>（補足）Spring Bootプロジェクトの準備</v>
      </c>
      <c r="D61" s="109" t="s">
        <v>110</v>
      </c>
      <c r="E61" s="110"/>
      <c r="F61" s="111"/>
      <c r="G61" s="58" t="s">
        <v>111</v>
      </c>
      <c r="H61" s="59"/>
      <c r="I61" s="60" t="s">
        <v>88</v>
      </c>
      <c r="J61" s="61">
        <v>0</v>
      </c>
      <c r="K61" s="62"/>
      <c r="L61" s="6"/>
      <c r="M61" s="6"/>
      <c r="N61" s="6"/>
    </row>
    <row r="62" spans="1:14" ht="88.2">
      <c r="A62" s="11"/>
      <c r="B62" s="117"/>
      <c r="C62" s="58" t="str">
        <f>master!C43</f>
        <v>Spring Bootアプリケーションの起動確認</v>
      </c>
      <c r="D62" s="109" t="s">
        <v>112</v>
      </c>
      <c r="E62" s="110"/>
      <c r="F62" s="111"/>
      <c r="G62" s="58" t="s">
        <v>113</v>
      </c>
      <c r="H62" s="59"/>
      <c r="I62" s="60" t="s">
        <v>33</v>
      </c>
      <c r="J62" s="61">
        <v>6.9444444444444441E-3</v>
      </c>
      <c r="K62" s="62"/>
      <c r="L62" s="6"/>
      <c r="M62" s="6"/>
      <c r="N62" s="6"/>
    </row>
    <row r="63" spans="1:14" ht="190.2" customHeight="1">
      <c r="A63" s="11"/>
      <c r="B63" s="115" t="str">
        <f>master!B44</f>
        <v>ECサイト Webアプリの要件</v>
      </c>
      <c r="C63" s="58" t="str">
        <f>master!C44</f>
        <v>ECサイト Webアプリの要件 – はじめに</v>
      </c>
      <c r="D63" s="109" t="s">
        <v>114</v>
      </c>
      <c r="E63" s="110"/>
      <c r="F63" s="111"/>
      <c r="G63" s="58" t="s">
        <v>115</v>
      </c>
      <c r="H63" s="59"/>
      <c r="I63" s="60" t="s">
        <v>33</v>
      </c>
      <c r="J63" s="61">
        <v>6.9444444444444447E-4</v>
      </c>
      <c r="K63" s="62"/>
      <c r="L63" s="6"/>
      <c r="M63" s="6"/>
      <c r="N63" s="6"/>
    </row>
    <row r="64" spans="1:14" ht="151.19999999999999">
      <c r="A64" s="11"/>
      <c r="B64" s="116"/>
      <c r="C64" s="58" t="str">
        <f>master!C45</f>
        <v>ECサイト Webアプリの要件➊ 画面</v>
      </c>
      <c r="D64" s="109" t="s">
        <v>116</v>
      </c>
      <c r="E64" s="110"/>
      <c r="F64" s="111"/>
      <c r="G64" s="58" t="s">
        <v>117</v>
      </c>
      <c r="H64" s="59"/>
      <c r="I64" s="60" t="s">
        <v>33</v>
      </c>
      <c r="J64" s="61">
        <v>6.9444444444444447E-4</v>
      </c>
      <c r="K64" s="62"/>
      <c r="L64" s="6"/>
      <c r="M64" s="6"/>
      <c r="N64" s="6"/>
    </row>
    <row r="65" spans="1:14" ht="214.2">
      <c r="A65" s="11"/>
      <c r="B65" s="116"/>
      <c r="C65" s="58" t="str">
        <f>master!C46</f>
        <v>ECサイト Webアプリの要件➋ 機能</v>
      </c>
      <c r="D65" s="109" t="s">
        <v>118</v>
      </c>
      <c r="E65" s="110"/>
      <c r="F65" s="111"/>
      <c r="G65" s="58" t="s">
        <v>119</v>
      </c>
      <c r="H65" s="59"/>
      <c r="I65" s="60" t="s">
        <v>33</v>
      </c>
      <c r="J65" s="61">
        <v>6.9444444444444447E-4</v>
      </c>
      <c r="K65" s="62"/>
      <c r="L65" s="6"/>
      <c r="M65" s="6"/>
      <c r="N65" s="6"/>
    </row>
    <row r="66" spans="1:14" ht="63">
      <c r="A66" s="11"/>
      <c r="B66" s="116"/>
      <c r="C66" s="58" t="str">
        <f>master!C47</f>
        <v>ECサイト Webアプリの要件➌ 画面遷移</v>
      </c>
      <c r="D66" s="109" t="s">
        <v>120</v>
      </c>
      <c r="E66" s="110"/>
      <c r="F66" s="111"/>
      <c r="G66" s="58" t="s">
        <v>121</v>
      </c>
      <c r="H66" s="59"/>
      <c r="I66" s="60" t="s">
        <v>33</v>
      </c>
      <c r="J66" s="61">
        <v>1.3888888888888889E-3</v>
      </c>
      <c r="K66" s="62"/>
      <c r="L66" s="6"/>
      <c r="M66" s="6"/>
      <c r="N66" s="6"/>
    </row>
    <row r="67" spans="1:14" ht="163.80000000000001">
      <c r="A67" s="11"/>
      <c r="B67" s="116"/>
      <c r="C67" s="58" t="str">
        <f>master!C48</f>
        <v>ECサイト Webアプリの要件❹ データ設計</v>
      </c>
      <c r="D67" s="109" t="s">
        <v>122</v>
      </c>
      <c r="E67" s="110"/>
      <c r="F67" s="111"/>
      <c r="G67" s="58" t="s">
        <v>123</v>
      </c>
      <c r="H67" s="59"/>
      <c r="I67" s="60" t="s">
        <v>33</v>
      </c>
      <c r="J67" s="61">
        <v>2.0833333333333333E-3</v>
      </c>
      <c r="K67" s="62"/>
      <c r="L67" s="6"/>
      <c r="M67" s="6"/>
      <c r="N67" s="6"/>
    </row>
    <row r="68" spans="1:14" ht="50.4">
      <c r="A68" s="11"/>
      <c r="B68" s="116"/>
      <c r="C68" s="58" t="str">
        <f>master!C49</f>
        <v>ECサイト Webアプリの要件❺ 初期データ</v>
      </c>
      <c r="D68" s="109" t="s">
        <v>124</v>
      </c>
      <c r="E68" s="110"/>
      <c r="F68" s="111"/>
      <c r="G68" s="58" t="s">
        <v>115</v>
      </c>
      <c r="H68" s="59"/>
      <c r="I68" s="60" t="s">
        <v>33</v>
      </c>
      <c r="J68" s="61">
        <v>6.9444444444444447E-4</v>
      </c>
      <c r="K68" s="62"/>
      <c r="L68" s="6"/>
      <c r="M68" s="6"/>
      <c r="N68" s="6"/>
    </row>
    <row r="69" spans="1:14" ht="37.799999999999997">
      <c r="A69" s="11"/>
      <c r="B69" s="116"/>
      <c r="C69" s="58" t="str">
        <f>master!C50</f>
        <v>ECサイト Webアプリの要件❻ ディレクトリ構成</v>
      </c>
      <c r="D69" s="109" t="s">
        <v>125</v>
      </c>
      <c r="E69" s="110"/>
      <c r="F69" s="111"/>
      <c r="G69" s="58" t="s">
        <v>104</v>
      </c>
      <c r="H69" s="59"/>
      <c r="I69" s="60" t="s">
        <v>33</v>
      </c>
      <c r="J69" s="61">
        <v>1.0416666666666666E-2</v>
      </c>
      <c r="K69" s="62"/>
      <c r="L69" s="6"/>
      <c r="M69" s="6"/>
      <c r="N69" s="6"/>
    </row>
    <row r="70" spans="1:14" ht="37.799999999999997">
      <c r="A70" s="11"/>
      <c r="B70" s="116"/>
      <c r="C70" s="58" t="str">
        <f>master!C51</f>
        <v>ECサイト Webアプリの要件❼ パッケージ構成</v>
      </c>
      <c r="D70" s="109" t="s">
        <v>126</v>
      </c>
      <c r="E70" s="110"/>
      <c r="F70" s="111"/>
      <c r="G70" s="58" t="s">
        <v>104</v>
      </c>
      <c r="H70" s="59"/>
      <c r="I70" s="60" t="s">
        <v>33</v>
      </c>
      <c r="J70" s="61">
        <v>3.472222222222222E-3</v>
      </c>
      <c r="K70" s="62"/>
      <c r="L70" s="6"/>
      <c r="M70" s="6"/>
      <c r="N70" s="6"/>
    </row>
    <row r="71" spans="1:14" ht="37.799999999999997">
      <c r="A71" s="11"/>
      <c r="B71" s="117"/>
      <c r="C71" s="58" t="str">
        <f>master!C52</f>
        <v>ECサイト Webアプリの要件❽ リソース構成</v>
      </c>
      <c r="D71" s="109" t="s">
        <v>127</v>
      </c>
      <c r="E71" s="110"/>
      <c r="F71" s="111"/>
      <c r="G71" s="58" t="s">
        <v>104</v>
      </c>
      <c r="H71" s="59"/>
      <c r="I71" s="60" t="s">
        <v>33</v>
      </c>
      <c r="J71" s="61">
        <v>6.9444444444444447E-4</v>
      </c>
      <c r="K71" s="62"/>
      <c r="L71" s="6"/>
      <c r="M71" s="6"/>
      <c r="N71" s="6"/>
    </row>
    <row r="72" spans="1:14" ht="25.2">
      <c r="A72" s="11"/>
      <c r="B72" s="115" t="str">
        <f>master!B53</f>
        <v>ハンズオン</v>
      </c>
      <c r="C72" s="58" t="str">
        <f>master!C53</f>
        <v>バイブコーディング – はじめに</v>
      </c>
      <c r="D72" s="109" t="s">
        <v>128</v>
      </c>
      <c r="E72" s="110"/>
      <c r="F72" s="111"/>
      <c r="G72" s="58" t="s">
        <v>111</v>
      </c>
      <c r="H72" s="59"/>
      <c r="I72" s="60" t="s">
        <v>33</v>
      </c>
      <c r="J72" s="61">
        <v>1.0416666666666666E-2</v>
      </c>
      <c r="K72" s="62"/>
      <c r="L72" s="6"/>
      <c r="M72" s="6"/>
      <c r="N72" s="6"/>
    </row>
    <row r="73" spans="1:14" ht="138.6">
      <c r="A73" s="11"/>
      <c r="B73" s="116"/>
      <c r="C73" s="58" t="str">
        <f>master!C54</f>
        <v>[構造理解] Webアプリケーションで必要なもの</v>
      </c>
      <c r="D73" s="109" t="s">
        <v>129</v>
      </c>
      <c r="E73" s="110"/>
      <c r="F73" s="111"/>
      <c r="G73" s="58" t="s">
        <v>130</v>
      </c>
      <c r="H73" s="59"/>
      <c r="I73" s="60" t="s">
        <v>33</v>
      </c>
      <c r="J73" s="61">
        <v>1.3888888888888889E-3</v>
      </c>
      <c r="K73" s="62"/>
      <c r="L73" s="6"/>
      <c r="M73" s="6"/>
      <c r="N73" s="6"/>
    </row>
    <row r="74" spans="1:14" ht="50.4">
      <c r="A74" s="11"/>
      <c r="B74" s="116"/>
      <c r="C74" s="76" t="str">
        <f>master!C55</f>
        <v>バイブコーディング➊ 画面モックアップを作ってデザインを決める</v>
      </c>
      <c r="D74" s="109" t="s">
        <v>131</v>
      </c>
      <c r="E74" s="110"/>
      <c r="F74" s="111"/>
      <c r="G74" s="58" t="s">
        <v>115</v>
      </c>
      <c r="H74" s="59"/>
      <c r="I74" s="60" t="s">
        <v>33</v>
      </c>
      <c r="J74" s="61">
        <v>1.3888888888888888E-2</v>
      </c>
      <c r="K74" s="62"/>
      <c r="L74" s="6"/>
      <c r="M74" s="6"/>
      <c r="N74" s="6"/>
    </row>
    <row r="75" spans="1:14" ht="88.2" customHeight="1">
      <c r="A75" s="11"/>
      <c r="B75" s="116"/>
      <c r="C75" s="77"/>
      <c r="D75" s="109" t="s">
        <v>132</v>
      </c>
      <c r="E75" s="110"/>
      <c r="F75" s="111"/>
      <c r="G75" s="58" t="s">
        <v>113</v>
      </c>
      <c r="H75" s="59"/>
      <c r="I75" s="60"/>
      <c r="J75" s="61"/>
      <c r="K75" s="62"/>
      <c r="L75" s="6"/>
      <c r="M75" s="6"/>
      <c r="N75" s="6"/>
    </row>
    <row r="76" spans="1:14" ht="50.4">
      <c r="A76" s="11"/>
      <c r="B76" s="116"/>
      <c r="C76" s="76" t="str">
        <f>master!C56</f>
        <v>バイブコーディング➋ データベースのテーブルを準備する</v>
      </c>
      <c r="D76" s="109" t="s">
        <v>133</v>
      </c>
      <c r="E76" s="110"/>
      <c r="F76" s="111"/>
      <c r="G76" s="58" t="s">
        <v>115</v>
      </c>
      <c r="H76" s="59"/>
      <c r="I76" s="60" t="s">
        <v>33</v>
      </c>
      <c r="J76" s="61">
        <v>1.3888888888888889E-3</v>
      </c>
      <c r="K76" s="62"/>
      <c r="L76" s="6"/>
      <c r="M76" s="6"/>
      <c r="N76" s="6"/>
    </row>
    <row r="77" spans="1:14" ht="88.2">
      <c r="A77" s="11"/>
      <c r="B77" s="116"/>
      <c r="C77" s="77"/>
      <c r="D77" s="109" t="s">
        <v>132</v>
      </c>
      <c r="E77" s="110"/>
      <c r="F77" s="111"/>
      <c r="G77" s="58" t="s">
        <v>113</v>
      </c>
      <c r="H77" s="59"/>
      <c r="I77" s="60"/>
      <c r="J77" s="61"/>
      <c r="K77" s="62"/>
      <c r="L77" s="6"/>
      <c r="M77" s="6"/>
      <c r="N77" s="6"/>
    </row>
    <row r="78" spans="1:14" ht="50.4">
      <c r="A78" s="11"/>
      <c r="B78" s="116"/>
      <c r="C78" s="76" t="str">
        <f>master!C57</f>
        <v>バイブコーディング➌ データベースのデータを準備する</v>
      </c>
      <c r="D78" s="109" t="s">
        <v>134</v>
      </c>
      <c r="E78" s="110"/>
      <c r="F78" s="111"/>
      <c r="G78" s="58" t="s">
        <v>115</v>
      </c>
      <c r="H78" s="59"/>
      <c r="I78" s="60" t="s">
        <v>33</v>
      </c>
      <c r="J78" s="61">
        <v>1.3888888888888889E-3</v>
      </c>
      <c r="K78" s="62"/>
      <c r="L78" s="6"/>
      <c r="M78" s="6"/>
      <c r="N78" s="6"/>
    </row>
    <row r="79" spans="1:14" ht="88.2">
      <c r="A79" s="11"/>
      <c r="B79" s="116"/>
      <c r="C79" s="77"/>
      <c r="D79" s="109" t="s">
        <v>132</v>
      </c>
      <c r="E79" s="110"/>
      <c r="F79" s="111"/>
      <c r="G79" s="58" t="s">
        <v>113</v>
      </c>
      <c r="H79" s="59"/>
      <c r="I79" s="60"/>
      <c r="J79" s="61"/>
      <c r="K79" s="62"/>
      <c r="L79" s="6"/>
      <c r="M79" s="6"/>
      <c r="N79" s="6"/>
    </row>
    <row r="80" spans="1:14" ht="63">
      <c r="A80" s="11"/>
      <c r="B80" s="116"/>
      <c r="C80" s="76" t="str">
        <f>master!C58</f>
        <v>バイブコーディング❹ データベース処理とビジネスロジックを作る</v>
      </c>
      <c r="D80" s="109" t="s">
        <v>135</v>
      </c>
      <c r="E80" s="110"/>
      <c r="F80" s="111"/>
      <c r="G80" s="58" t="s">
        <v>121</v>
      </c>
      <c r="H80" s="59"/>
      <c r="I80" s="60" t="s">
        <v>33</v>
      </c>
      <c r="J80" s="61">
        <v>3.472222222222222E-3</v>
      </c>
      <c r="K80" s="62"/>
      <c r="L80" s="6"/>
      <c r="M80" s="6"/>
      <c r="N80" s="6"/>
    </row>
    <row r="81" spans="1:14" ht="88.2">
      <c r="A81" s="11"/>
      <c r="B81" s="116"/>
      <c r="C81" s="77"/>
      <c r="D81" s="109" t="s">
        <v>132</v>
      </c>
      <c r="E81" s="110"/>
      <c r="F81" s="111"/>
      <c r="G81" s="58" t="s">
        <v>113</v>
      </c>
      <c r="H81" s="59"/>
      <c r="I81" s="60"/>
      <c r="J81" s="61"/>
      <c r="K81" s="62"/>
      <c r="L81" s="6"/>
      <c r="M81" s="6"/>
      <c r="N81" s="6"/>
    </row>
    <row r="82" spans="1:14" ht="50.4">
      <c r="A82" s="11"/>
      <c r="B82" s="116"/>
      <c r="C82" s="58" t="str">
        <f>master!C59</f>
        <v>[解説] RepositoryクラスとSQLの例（抜粋）</v>
      </c>
      <c r="D82" s="109" t="s">
        <v>136</v>
      </c>
      <c r="E82" s="110"/>
      <c r="F82" s="111"/>
      <c r="G82" s="58" t="s">
        <v>115</v>
      </c>
      <c r="H82" s="59"/>
      <c r="I82" s="60" t="s">
        <v>33</v>
      </c>
      <c r="J82" s="61">
        <v>2.0833333333333333E-3</v>
      </c>
      <c r="K82" s="62"/>
      <c r="L82" s="6"/>
      <c r="M82" s="6"/>
      <c r="N82" s="6"/>
    </row>
    <row r="83" spans="1:14" ht="50.4">
      <c r="A83" s="11"/>
      <c r="B83" s="116"/>
      <c r="C83" s="58" t="str">
        <f>master!C60</f>
        <v>[解説] Entity/Modelクラスの例（抜粋）</v>
      </c>
      <c r="D83" s="109" t="s">
        <v>137</v>
      </c>
      <c r="E83" s="110"/>
      <c r="F83" s="111"/>
      <c r="G83" s="58" t="s">
        <v>115</v>
      </c>
      <c r="H83" s="59"/>
      <c r="I83" s="60" t="s">
        <v>33</v>
      </c>
      <c r="J83" s="61">
        <v>1.3888888888888889E-3</v>
      </c>
      <c r="K83" s="62"/>
      <c r="L83" s="6"/>
      <c r="M83" s="6"/>
      <c r="N83" s="6"/>
    </row>
    <row r="84" spans="1:14" ht="37.799999999999997">
      <c r="A84" s="11"/>
      <c r="B84" s="116"/>
      <c r="C84" s="58" t="str">
        <f>master!C61</f>
        <v>[解説] Serviceクラスの例（抜粋）</v>
      </c>
      <c r="D84" s="109" t="s">
        <v>138</v>
      </c>
      <c r="E84" s="110"/>
      <c r="F84" s="111"/>
      <c r="G84" s="58" t="s">
        <v>104</v>
      </c>
      <c r="H84" s="59"/>
      <c r="I84" s="60" t="s">
        <v>33</v>
      </c>
      <c r="J84" s="61">
        <v>6.9444444444444447E-4</v>
      </c>
      <c r="K84" s="62"/>
      <c r="L84" s="6"/>
      <c r="M84" s="6"/>
      <c r="N84" s="6"/>
    </row>
    <row r="85" spans="1:14" ht="50.4">
      <c r="A85" s="11"/>
      <c r="B85" s="116"/>
      <c r="C85" s="76" t="str">
        <f>master!C62</f>
        <v>バイブコーディング❺ モックアップをもとに画面表示/処理を作る</v>
      </c>
      <c r="D85" s="109" t="s">
        <v>139</v>
      </c>
      <c r="E85" s="110"/>
      <c r="F85" s="111"/>
      <c r="G85" s="58" t="s">
        <v>115</v>
      </c>
      <c r="H85" s="59"/>
      <c r="I85" s="60" t="s">
        <v>33</v>
      </c>
      <c r="J85" s="61">
        <v>6.9444444444444441E-3</v>
      </c>
      <c r="K85" s="62"/>
      <c r="L85" s="6"/>
      <c r="M85" s="6"/>
      <c r="N85" s="6"/>
    </row>
    <row r="86" spans="1:14" ht="88.2">
      <c r="A86" s="11"/>
      <c r="B86" s="116"/>
      <c r="C86" s="77"/>
      <c r="D86" s="109" t="s">
        <v>132</v>
      </c>
      <c r="E86" s="110"/>
      <c r="F86" s="111"/>
      <c r="G86" s="58" t="s">
        <v>113</v>
      </c>
      <c r="H86" s="59"/>
      <c r="I86" s="60"/>
      <c r="J86" s="61"/>
      <c r="K86" s="62"/>
      <c r="L86" s="6"/>
      <c r="M86" s="6"/>
      <c r="N86" s="6"/>
    </row>
    <row r="87" spans="1:14" ht="37.799999999999997">
      <c r="A87" s="11"/>
      <c r="B87" s="116"/>
      <c r="C87" s="58" t="str">
        <f>master!C63</f>
        <v>[解説] Controllerクラスの例（抜粋）</v>
      </c>
      <c r="D87" s="109" t="s">
        <v>140</v>
      </c>
      <c r="E87" s="110"/>
      <c r="F87" s="111"/>
      <c r="G87" s="58" t="s">
        <v>104</v>
      </c>
      <c r="H87" s="59"/>
      <c r="I87" s="60" t="s">
        <v>33</v>
      </c>
      <c r="J87" s="61">
        <v>1.3888888888888889E-3</v>
      </c>
      <c r="K87" s="62"/>
      <c r="L87" s="6"/>
      <c r="M87" s="6"/>
      <c r="N87" s="6"/>
    </row>
    <row r="88" spans="1:14" ht="37.799999999999997">
      <c r="A88" s="11"/>
      <c r="B88" s="116"/>
      <c r="C88" s="58" t="str">
        <f>master!C64</f>
        <v>[解説] Thymeleafテンプレートの例（抜粋）</v>
      </c>
      <c r="D88" s="109" t="s">
        <v>141</v>
      </c>
      <c r="E88" s="110"/>
      <c r="F88" s="111"/>
      <c r="G88" s="58" t="s">
        <v>104</v>
      </c>
      <c r="H88" s="59"/>
      <c r="I88" s="60" t="s">
        <v>33</v>
      </c>
      <c r="J88" s="61">
        <v>1.3888888888888889E-3</v>
      </c>
      <c r="K88" s="62"/>
      <c r="L88" s="6"/>
      <c r="M88" s="6"/>
      <c r="N88" s="6"/>
    </row>
    <row r="89" spans="1:14" ht="37.799999999999997">
      <c r="A89" s="11"/>
      <c r="B89" s="116"/>
      <c r="C89" s="58" t="str">
        <f>master!C65</f>
        <v>[解説] Formクラスの例（抜粋）</v>
      </c>
      <c r="D89" s="109" t="s">
        <v>142</v>
      </c>
      <c r="E89" s="110"/>
      <c r="F89" s="111"/>
      <c r="G89" s="58" t="s">
        <v>104</v>
      </c>
      <c r="H89" s="59"/>
      <c r="I89" s="60" t="s">
        <v>33</v>
      </c>
      <c r="J89" s="61">
        <v>6.9444444444444447E-4</v>
      </c>
      <c r="K89" s="62"/>
      <c r="L89" s="6"/>
      <c r="M89" s="6"/>
      <c r="N89" s="6"/>
    </row>
    <row r="90" spans="1:14" ht="75.599999999999994">
      <c r="A90" s="11"/>
      <c r="B90" s="116"/>
      <c r="C90" s="76" t="str">
        <f>master!C66</f>
        <v>バイブコーディング❻ 動作を確認する</v>
      </c>
      <c r="D90" s="109" t="s">
        <v>143</v>
      </c>
      <c r="E90" s="110"/>
      <c r="F90" s="111"/>
      <c r="G90" s="58" t="s">
        <v>107</v>
      </c>
      <c r="H90" s="59"/>
      <c r="I90" s="60" t="s">
        <v>33</v>
      </c>
      <c r="J90" s="61">
        <v>6.9444444444444447E-4</v>
      </c>
      <c r="K90" s="62"/>
      <c r="L90" s="6"/>
      <c r="M90" s="6"/>
      <c r="N90" s="6"/>
    </row>
    <row r="91" spans="1:14" ht="63">
      <c r="A91" s="11"/>
      <c r="B91" s="117"/>
      <c r="C91" s="77"/>
      <c r="D91" s="109" t="s">
        <v>144</v>
      </c>
      <c r="E91" s="110"/>
      <c r="F91" s="111"/>
      <c r="G91" s="58" t="s">
        <v>121</v>
      </c>
      <c r="H91" s="59"/>
      <c r="I91" s="60" t="s">
        <v>33</v>
      </c>
      <c r="J91" s="61">
        <v>6.9444444444444441E-3</v>
      </c>
      <c r="K91" s="62"/>
      <c r="L91" s="6"/>
      <c r="M91" s="6"/>
      <c r="N91" s="6"/>
    </row>
    <row r="92" spans="1:14" ht="50.4">
      <c r="A92" s="11"/>
      <c r="B92" s="112" t="str">
        <f>master!B69</f>
        <v>Gitとは</v>
      </c>
      <c r="C92" s="48" t="str">
        <f>master!C69</f>
        <v>はじめに</v>
      </c>
      <c r="D92" s="118" t="s">
        <v>145</v>
      </c>
      <c r="E92" s="119"/>
      <c r="F92" s="120"/>
      <c r="G92" s="48" t="s">
        <v>146</v>
      </c>
      <c r="H92" s="12"/>
      <c r="I92" s="46" t="s">
        <v>33</v>
      </c>
      <c r="J92" s="44">
        <v>1.3888888888888889E-3</v>
      </c>
      <c r="K92" s="89"/>
      <c r="L92" s="6"/>
      <c r="M92" s="6"/>
      <c r="N92" s="6"/>
    </row>
    <row r="93" spans="1:14" ht="37.799999999999997">
      <c r="A93" s="11"/>
      <c r="B93" s="113"/>
      <c r="C93" s="48" t="str">
        <f>master!C70</f>
        <v>バージョン管理とは</v>
      </c>
      <c r="D93" s="118" t="s">
        <v>147</v>
      </c>
      <c r="E93" s="119"/>
      <c r="F93" s="120"/>
      <c r="G93" s="48" t="s">
        <v>148</v>
      </c>
      <c r="H93" s="12"/>
      <c r="I93" s="46" t="s">
        <v>33</v>
      </c>
      <c r="J93" s="44">
        <v>2.0833333333333333E-3</v>
      </c>
      <c r="K93" s="89"/>
      <c r="L93" s="6"/>
      <c r="M93" s="6"/>
      <c r="N93" s="6"/>
    </row>
    <row r="94" spans="1:14" ht="151.19999999999999">
      <c r="A94" s="11"/>
      <c r="B94" s="114"/>
      <c r="C94" s="48" t="str">
        <f>master!C71</f>
        <v>Gitの概要</v>
      </c>
      <c r="D94" s="118" t="s">
        <v>149</v>
      </c>
      <c r="E94" s="119"/>
      <c r="F94" s="120"/>
      <c r="G94" s="48" t="s">
        <v>150</v>
      </c>
      <c r="H94" s="12"/>
      <c r="I94" s="46" t="s">
        <v>33</v>
      </c>
      <c r="J94" s="44">
        <v>2.0833333333333333E-3</v>
      </c>
      <c r="K94" s="89"/>
      <c r="L94" s="6"/>
      <c r="M94" s="6"/>
      <c r="N94" s="6"/>
    </row>
    <row r="95" spans="1:14" ht="75.599999999999994">
      <c r="A95" s="11"/>
      <c r="B95" s="112" t="str">
        <f>master!B72</f>
        <v>Gitの基本構成</v>
      </c>
      <c r="C95" s="48" t="str">
        <f>master!C72</f>
        <v>はじめに</v>
      </c>
      <c r="D95" s="118" t="s">
        <v>151</v>
      </c>
      <c r="E95" s="119"/>
      <c r="F95" s="120"/>
      <c r="G95" s="48" t="s">
        <v>152</v>
      </c>
      <c r="H95" s="12"/>
      <c r="I95" s="46" t="s">
        <v>33</v>
      </c>
      <c r="J95" s="44">
        <v>1.3888888888888889E-3</v>
      </c>
      <c r="K95" s="89"/>
      <c r="L95" s="6"/>
      <c r="M95" s="6"/>
      <c r="N95" s="6"/>
    </row>
    <row r="96" spans="1:14" ht="37.799999999999997">
      <c r="A96" s="11"/>
      <c r="B96" s="113"/>
      <c r="C96" s="48" t="str">
        <f>master!C73</f>
        <v>ワーキングツリー</v>
      </c>
      <c r="D96" s="118" t="s">
        <v>153</v>
      </c>
      <c r="E96" s="119"/>
      <c r="F96" s="120"/>
      <c r="G96" s="48" t="s">
        <v>148</v>
      </c>
      <c r="H96" s="12"/>
      <c r="I96" s="46" t="s">
        <v>33</v>
      </c>
      <c r="J96" s="44">
        <v>2.0833333333333333E-3</v>
      </c>
      <c r="K96" s="89"/>
      <c r="L96" s="6"/>
      <c r="M96" s="6"/>
      <c r="N96" s="6"/>
    </row>
    <row r="97" spans="1:14" ht="37.799999999999997">
      <c r="A97" s="11"/>
      <c r="B97" s="113"/>
      <c r="C97" s="48" t="str">
        <f>master!C74</f>
        <v>ステージングエリア</v>
      </c>
      <c r="D97" s="118" t="s">
        <v>154</v>
      </c>
      <c r="E97" s="119"/>
      <c r="F97" s="120"/>
      <c r="G97" s="48" t="s">
        <v>148</v>
      </c>
      <c r="H97" s="12"/>
      <c r="I97" s="46" t="s">
        <v>33</v>
      </c>
      <c r="J97" s="44">
        <v>2.0833333333333333E-3</v>
      </c>
      <c r="K97" s="89"/>
      <c r="L97" s="6"/>
      <c r="M97" s="6"/>
      <c r="N97" s="6"/>
    </row>
    <row r="98" spans="1:14" ht="37.799999999999997">
      <c r="A98" s="11"/>
      <c r="B98" s="113"/>
      <c r="C98" s="48" t="str">
        <f>master!C75</f>
        <v>ローカルリポジトリ</v>
      </c>
      <c r="D98" s="118" t="s">
        <v>155</v>
      </c>
      <c r="E98" s="119"/>
      <c r="F98" s="120"/>
      <c r="G98" s="48" t="s">
        <v>148</v>
      </c>
      <c r="H98" s="12"/>
      <c r="I98" s="46" t="s">
        <v>33</v>
      </c>
      <c r="J98" s="44">
        <v>2.0833333333333333E-3</v>
      </c>
      <c r="K98" s="89"/>
      <c r="L98" s="6"/>
      <c r="M98" s="6"/>
      <c r="N98" s="6"/>
    </row>
    <row r="99" spans="1:14" ht="50.4">
      <c r="A99" s="11"/>
      <c r="B99" s="114"/>
      <c r="C99" s="48" t="str">
        <f>master!C76</f>
        <v>リモートリポジトリ</v>
      </c>
      <c r="D99" s="118" t="s">
        <v>156</v>
      </c>
      <c r="E99" s="119"/>
      <c r="F99" s="120"/>
      <c r="G99" s="48" t="s">
        <v>146</v>
      </c>
      <c r="H99" s="12"/>
      <c r="I99" s="46" t="s">
        <v>33</v>
      </c>
      <c r="J99" s="44">
        <v>2.0833333333333333E-3</v>
      </c>
      <c r="K99" s="89"/>
      <c r="L99" s="6"/>
      <c r="M99" s="6"/>
      <c r="N99" s="6"/>
    </row>
    <row r="100" spans="1:14" ht="88.2">
      <c r="A100" s="11"/>
      <c r="B100" s="112" t="str">
        <f>master!B77</f>
        <v>ローカルリポジトリの操作</v>
      </c>
      <c r="C100" s="48" t="str">
        <f>master!C77</f>
        <v>はじめに</v>
      </c>
      <c r="D100" s="118" t="s">
        <v>157</v>
      </c>
      <c r="E100" s="119"/>
      <c r="F100" s="120"/>
      <c r="G100" s="48" t="s">
        <v>158</v>
      </c>
      <c r="H100" s="12"/>
      <c r="I100" s="46" t="s">
        <v>33</v>
      </c>
      <c r="J100" s="44">
        <v>6.9444444444444447E-4</v>
      </c>
      <c r="K100" s="89"/>
      <c r="L100" s="6"/>
      <c r="M100" s="6"/>
      <c r="N100" s="6"/>
    </row>
    <row r="101" spans="1:14" ht="37.799999999999997">
      <c r="A101" s="11"/>
      <c r="B101" s="113"/>
      <c r="C101" s="48" t="str">
        <f>master!C78</f>
        <v>リポジトリの作成</v>
      </c>
      <c r="D101" s="118" t="s">
        <v>159</v>
      </c>
      <c r="E101" s="119"/>
      <c r="F101" s="120"/>
      <c r="G101" s="48" t="s">
        <v>148</v>
      </c>
      <c r="H101" s="12"/>
      <c r="I101" s="46" t="s">
        <v>33</v>
      </c>
      <c r="J101" s="44">
        <v>1.3888888888888889E-3</v>
      </c>
      <c r="K101" s="89"/>
      <c r="L101" s="6"/>
      <c r="M101" s="6"/>
      <c r="N101" s="6"/>
    </row>
    <row r="102" spans="1:14" ht="37.950000000000003" customHeight="1">
      <c r="A102" s="11"/>
      <c r="B102" s="113"/>
      <c r="C102" s="48" t="str">
        <f>master!C79</f>
        <v>ファイルの変更</v>
      </c>
      <c r="D102" s="118" t="s">
        <v>160</v>
      </c>
      <c r="E102" s="119"/>
      <c r="F102" s="120"/>
      <c r="G102" s="48" t="s">
        <v>148</v>
      </c>
      <c r="H102" s="12"/>
      <c r="I102" s="46" t="s">
        <v>33</v>
      </c>
      <c r="J102" s="44">
        <v>1.3888888888888889E-3</v>
      </c>
      <c r="K102" s="89"/>
      <c r="L102" s="6"/>
      <c r="M102" s="6"/>
      <c r="N102" s="6"/>
    </row>
    <row r="103" spans="1:14" ht="37.799999999999997">
      <c r="A103" s="11"/>
      <c r="B103" s="113"/>
      <c r="C103" s="48" t="str">
        <f>master!C80</f>
        <v>変更内容の確認</v>
      </c>
      <c r="D103" s="118" t="s">
        <v>161</v>
      </c>
      <c r="E103" s="119"/>
      <c r="F103" s="120"/>
      <c r="G103" s="48" t="s">
        <v>148</v>
      </c>
      <c r="H103" s="12"/>
      <c r="I103" s="46" t="s">
        <v>33</v>
      </c>
      <c r="J103" s="44">
        <v>1.3888888888888889E-3</v>
      </c>
      <c r="K103" s="89"/>
      <c r="L103" s="6"/>
      <c r="M103" s="6"/>
      <c r="N103" s="6"/>
    </row>
    <row r="104" spans="1:14" ht="37.799999999999997">
      <c r="A104" s="11"/>
      <c r="B104" s="113"/>
      <c r="C104" s="48" t="str">
        <f>master!C81</f>
        <v>変更内容のステージ</v>
      </c>
      <c r="D104" s="118" t="s">
        <v>162</v>
      </c>
      <c r="E104" s="119"/>
      <c r="F104" s="120"/>
      <c r="G104" s="48" t="s">
        <v>148</v>
      </c>
      <c r="H104" s="12"/>
      <c r="I104" s="46" t="s">
        <v>33</v>
      </c>
      <c r="J104" s="44">
        <v>1.3888888888888889E-3</v>
      </c>
      <c r="K104" s="89"/>
      <c r="L104" s="6"/>
      <c r="M104" s="6"/>
      <c r="N104" s="6"/>
    </row>
    <row r="105" spans="1:14" ht="37.799999999999997">
      <c r="A105" s="11"/>
      <c r="B105" s="113"/>
      <c r="C105" s="48" t="str">
        <f>master!C82</f>
        <v>変更内容のコミット</v>
      </c>
      <c r="D105" s="118" t="s">
        <v>163</v>
      </c>
      <c r="E105" s="119"/>
      <c r="F105" s="120"/>
      <c r="G105" s="48" t="s">
        <v>148</v>
      </c>
      <c r="H105" s="12"/>
      <c r="I105" s="46" t="s">
        <v>33</v>
      </c>
      <c r="J105" s="44">
        <v>1.3888888888888889E-3</v>
      </c>
      <c r="K105" s="89"/>
      <c r="L105" s="6"/>
      <c r="M105" s="6"/>
      <c r="N105" s="6"/>
    </row>
    <row r="106" spans="1:14" ht="37.799999999999997">
      <c r="A106" s="11"/>
      <c r="B106" s="113"/>
      <c r="C106" s="48" t="str">
        <f>master!C83</f>
        <v>ワーキングツリーの変更の取り消し</v>
      </c>
      <c r="D106" s="118" t="s">
        <v>164</v>
      </c>
      <c r="E106" s="119"/>
      <c r="F106" s="120"/>
      <c r="G106" s="48" t="s">
        <v>148</v>
      </c>
      <c r="H106" s="12"/>
      <c r="I106" s="46" t="s">
        <v>33</v>
      </c>
      <c r="J106" s="44">
        <v>1.3888888888888889E-3</v>
      </c>
      <c r="K106" s="89"/>
      <c r="L106" s="6"/>
      <c r="M106" s="6"/>
      <c r="N106" s="6"/>
    </row>
    <row r="107" spans="1:14" ht="37.799999999999997">
      <c r="A107" s="11"/>
      <c r="B107" s="113"/>
      <c r="C107" s="48" t="str">
        <f>master!C84</f>
        <v>ステージングの取り消し</v>
      </c>
      <c r="D107" s="118" t="s">
        <v>165</v>
      </c>
      <c r="E107" s="119"/>
      <c r="F107" s="120"/>
      <c r="G107" s="48" t="s">
        <v>148</v>
      </c>
      <c r="H107" s="12"/>
      <c r="I107" s="46" t="s">
        <v>33</v>
      </c>
      <c r="J107" s="44">
        <v>1.3888888888888889E-3</v>
      </c>
      <c r="K107" s="89"/>
      <c r="L107" s="6"/>
      <c r="M107" s="6"/>
      <c r="N107" s="6"/>
    </row>
    <row r="108" spans="1:14" ht="37.799999999999997">
      <c r="A108" s="11"/>
      <c r="B108" s="114"/>
      <c r="C108" s="48" t="str">
        <f>master!C85</f>
        <v>コミットの打ち消し</v>
      </c>
      <c r="D108" s="118" t="s">
        <v>166</v>
      </c>
      <c r="E108" s="119"/>
      <c r="F108" s="120"/>
      <c r="G108" s="48" t="s">
        <v>148</v>
      </c>
      <c r="H108" s="12"/>
      <c r="I108" s="46" t="s">
        <v>33</v>
      </c>
      <c r="J108" s="44">
        <v>1.3888888888888889E-3</v>
      </c>
      <c r="K108" s="89"/>
      <c r="L108" s="6"/>
      <c r="M108" s="6"/>
      <c r="N108" s="6"/>
    </row>
    <row r="109" spans="1:14" ht="75.599999999999994">
      <c r="A109" s="11"/>
      <c r="B109" s="112" t="str">
        <f>master!B86</f>
        <v>リモートリポジトリの操作</v>
      </c>
      <c r="C109" s="48" t="str">
        <f>master!C86</f>
        <v>はじめに</v>
      </c>
      <c r="D109" s="118" t="s">
        <v>167</v>
      </c>
      <c r="E109" s="119"/>
      <c r="F109" s="120"/>
      <c r="G109" s="48" t="s">
        <v>152</v>
      </c>
      <c r="H109" s="12"/>
      <c r="I109" s="46" t="s">
        <v>88</v>
      </c>
      <c r="J109" s="44">
        <v>0</v>
      </c>
      <c r="K109" s="89" t="s">
        <v>168</v>
      </c>
      <c r="L109" s="6"/>
      <c r="M109" s="6"/>
      <c r="N109" s="6"/>
    </row>
    <row r="110" spans="1:14" ht="37.799999999999997">
      <c r="A110" s="11"/>
      <c r="B110" s="113"/>
      <c r="C110" s="48" t="str">
        <f>master!C87</f>
        <v>リポジトリの複製</v>
      </c>
      <c r="D110" s="118" t="s">
        <v>169</v>
      </c>
      <c r="E110" s="119"/>
      <c r="F110" s="120"/>
      <c r="G110" s="48" t="s">
        <v>148</v>
      </c>
      <c r="H110" s="12"/>
      <c r="I110" s="46" t="s">
        <v>88</v>
      </c>
      <c r="J110" s="44">
        <v>0</v>
      </c>
      <c r="K110" s="89" t="s">
        <v>168</v>
      </c>
      <c r="L110" s="6"/>
      <c r="M110" s="6"/>
      <c r="N110" s="6"/>
    </row>
    <row r="111" spans="1:14" ht="37.799999999999997">
      <c r="A111" s="11"/>
      <c r="B111" s="113"/>
      <c r="C111" s="48" t="str">
        <f>master!C88</f>
        <v>リモートからの取得</v>
      </c>
      <c r="D111" s="118" t="s">
        <v>170</v>
      </c>
      <c r="E111" s="119"/>
      <c r="F111" s="120"/>
      <c r="G111" s="48" t="s">
        <v>148</v>
      </c>
      <c r="H111" s="12"/>
      <c r="I111" s="46" t="s">
        <v>88</v>
      </c>
      <c r="J111" s="44">
        <v>0</v>
      </c>
      <c r="K111" s="89" t="s">
        <v>168</v>
      </c>
      <c r="L111" s="6"/>
      <c r="M111" s="6"/>
      <c r="N111" s="6"/>
    </row>
    <row r="112" spans="1:14" ht="37.799999999999997">
      <c r="A112" s="11"/>
      <c r="B112" s="113"/>
      <c r="C112" s="48" t="str">
        <f>master!C89</f>
        <v>リモートからの取得と反映</v>
      </c>
      <c r="D112" s="118" t="s">
        <v>171</v>
      </c>
      <c r="E112" s="119"/>
      <c r="F112" s="120"/>
      <c r="G112" s="48" t="s">
        <v>148</v>
      </c>
      <c r="H112" s="12"/>
      <c r="I112" s="46" t="s">
        <v>88</v>
      </c>
      <c r="J112" s="44">
        <v>0</v>
      </c>
      <c r="K112" s="89" t="s">
        <v>168</v>
      </c>
      <c r="L112" s="6"/>
      <c r="M112" s="6"/>
      <c r="N112" s="6"/>
    </row>
    <row r="113" spans="1:14" ht="37.799999999999997">
      <c r="A113" s="11"/>
      <c r="B113" s="114"/>
      <c r="C113" s="48" t="str">
        <f>master!C90</f>
        <v>リモートへの反映</v>
      </c>
      <c r="D113" s="118" t="s">
        <v>172</v>
      </c>
      <c r="E113" s="119"/>
      <c r="F113" s="120"/>
      <c r="G113" s="48" t="s">
        <v>148</v>
      </c>
      <c r="H113" s="12"/>
      <c r="I113" s="46" t="s">
        <v>88</v>
      </c>
      <c r="J113" s="44">
        <v>0</v>
      </c>
      <c r="K113" s="89" t="s">
        <v>168</v>
      </c>
      <c r="L113" s="6"/>
      <c r="M113" s="6"/>
      <c r="N113" s="6"/>
    </row>
    <row r="114" spans="1:14" ht="88.2">
      <c r="A114" s="11"/>
      <c r="B114" s="112" t="str">
        <f>master!B91</f>
        <v>ブランチの操作</v>
      </c>
      <c r="C114" s="48" t="str">
        <f>master!C91</f>
        <v>はじめに</v>
      </c>
      <c r="D114" s="118" t="s">
        <v>173</v>
      </c>
      <c r="E114" s="119"/>
      <c r="F114" s="120"/>
      <c r="G114" s="48" t="s">
        <v>158</v>
      </c>
      <c r="H114" s="12"/>
      <c r="I114" s="46" t="s">
        <v>88</v>
      </c>
      <c r="J114" s="44">
        <v>0</v>
      </c>
      <c r="K114" s="89" t="s">
        <v>174</v>
      </c>
      <c r="L114" s="6"/>
      <c r="M114" s="6"/>
      <c r="N114" s="6"/>
    </row>
    <row r="115" spans="1:14" ht="37.799999999999997">
      <c r="A115" s="11"/>
      <c r="B115" s="113"/>
      <c r="C115" s="48" t="str">
        <f>master!C92</f>
        <v>ブランチとは</v>
      </c>
      <c r="D115" s="118" t="s">
        <v>175</v>
      </c>
      <c r="E115" s="119"/>
      <c r="F115" s="120"/>
      <c r="G115" s="48" t="s">
        <v>148</v>
      </c>
      <c r="H115" s="12"/>
      <c r="I115" s="46" t="s">
        <v>88</v>
      </c>
      <c r="J115" s="44">
        <v>0</v>
      </c>
      <c r="K115" s="89"/>
      <c r="L115" s="6"/>
      <c r="M115" s="6"/>
      <c r="N115" s="6"/>
    </row>
    <row r="116" spans="1:14" ht="37.799999999999997">
      <c r="A116" s="11"/>
      <c r="B116" s="113"/>
      <c r="C116" s="48" t="str">
        <f>master!C93</f>
        <v>ブランチの作成</v>
      </c>
      <c r="D116" s="118" t="s">
        <v>176</v>
      </c>
      <c r="E116" s="119"/>
      <c r="F116" s="120"/>
      <c r="G116" s="48" t="s">
        <v>148</v>
      </c>
      <c r="H116" s="12"/>
      <c r="I116" s="46" t="s">
        <v>88</v>
      </c>
      <c r="J116" s="44">
        <v>0</v>
      </c>
      <c r="K116" s="89"/>
      <c r="L116" s="6"/>
      <c r="M116" s="6"/>
      <c r="N116" s="6"/>
    </row>
    <row r="117" spans="1:14" ht="37.799999999999997">
      <c r="A117" s="11"/>
      <c r="B117" s="113"/>
      <c r="C117" s="48" t="str">
        <f>master!C94</f>
        <v>ブランチの切り替え</v>
      </c>
      <c r="D117" s="118" t="s">
        <v>177</v>
      </c>
      <c r="E117" s="119"/>
      <c r="F117" s="120"/>
      <c r="G117" s="48" t="s">
        <v>148</v>
      </c>
      <c r="H117" s="12"/>
      <c r="I117" s="46" t="s">
        <v>88</v>
      </c>
      <c r="J117" s="44">
        <v>0</v>
      </c>
      <c r="K117" s="89"/>
      <c r="L117" s="6"/>
      <c r="M117" s="6"/>
      <c r="N117" s="6"/>
    </row>
    <row r="118" spans="1:14" ht="37.799999999999997">
      <c r="A118" s="11"/>
      <c r="B118" s="113"/>
      <c r="C118" s="48" t="str">
        <f>master!C95</f>
        <v>ブランチのマージ</v>
      </c>
      <c r="D118" s="118" t="s">
        <v>178</v>
      </c>
      <c r="E118" s="119"/>
      <c r="F118" s="120"/>
      <c r="G118" s="48" t="s">
        <v>148</v>
      </c>
      <c r="H118" s="12"/>
      <c r="I118" s="46" t="s">
        <v>88</v>
      </c>
      <c r="J118" s="44">
        <v>0</v>
      </c>
      <c r="K118" s="89"/>
      <c r="L118" s="6"/>
      <c r="M118" s="6"/>
      <c r="N118" s="6"/>
    </row>
    <row r="119" spans="1:14" ht="100.8">
      <c r="A119" s="11"/>
      <c r="B119" s="114"/>
      <c r="C119" s="48" t="str">
        <f>master!C96</f>
        <v>コンフリクトの解消</v>
      </c>
      <c r="D119" s="118" t="s">
        <v>179</v>
      </c>
      <c r="E119" s="119"/>
      <c r="F119" s="120"/>
      <c r="G119" s="48" t="s">
        <v>180</v>
      </c>
      <c r="H119" s="12"/>
      <c r="I119" s="46" t="s">
        <v>88</v>
      </c>
      <c r="J119" s="44">
        <v>0</v>
      </c>
      <c r="K119" s="89"/>
      <c r="L119" s="6"/>
      <c r="M119" s="6"/>
      <c r="N119" s="6"/>
    </row>
    <row r="120" spans="1:14" ht="75.599999999999994">
      <c r="A120" s="11"/>
      <c r="B120" s="112" t="str">
        <f>master!B97</f>
        <v>VSCodeによるGitの操作</v>
      </c>
      <c r="C120" s="48" t="str">
        <f>master!C97</f>
        <v>はじめに</v>
      </c>
      <c r="D120" s="118" t="s">
        <v>181</v>
      </c>
      <c r="E120" s="119"/>
      <c r="F120" s="120"/>
      <c r="G120" s="48" t="s">
        <v>152</v>
      </c>
      <c r="H120" s="12"/>
      <c r="I120" s="46" t="s">
        <v>33</v>
      </c>
      <c r="J120" s="44">
        <v>6.9444444444444447E-4</v>
      </c>
      <c r="K120" s="89"/>
      <c r="L120" s="6"/>
      <c r="M120" s="6"/>
      <c r="N120" s="6"/>
    </row>
    <row r="121" spans="1:14" ht="25.2">
      <c r="A121" s="11"/>
      <c r="B121" s="113"/>
      <c r="C121" s="48" t="str">
        <f>master!C98</f>
        <v>VSCodeのソース管理機能</v>
      </c>
      <c r="D121" s="118" t="s">
        <v>182</v>
      </c>
      <c r="E121" s="119"/>
      <c r="F121" s="120"/>
      <c r="G121" s="48" t="s">
        <v>183</v>
      </c>
      <c r="H121" s="12"/>
      <c r="I121" s="46" t="s">
        <v>33</v>
      </c>
      <c r="J121" s="44">
        <v>6.9444444444444447E-4</v>
      </c>
      <c r="K121" s="89"/>
      <c r="L121" s="6"/>
      <c r="M121" s="6"/>
      <c r="N121" s="6"/>
    </row>
    <row r="122" spans="1:14" ht="126">
      <c r="A122" s="11"/>
      <c r="B122" s="113"/>
      <c r="C122" s="48" t="str">
        <f>master!C99</f>
        <v>ローカルリポジトリの操作</v>
      </c>
      <c r="D122" s="118" t="s">
        <v>184</v>
      </c>
      <c r="E122" s="119"/>
      <c r="F122" s="120"/>
      <c r="G122" s="48" t="s">
        <v>185</v>
      </c>
      <c r="H122" s="12"/>
      <c r="I122" s="46" t="s">
        <v>88</v>
      </c>
      <c r="J122" s="44">
        <v>0</v>
      </c>
      <c r="K122" s="89"/>
      <c r="L122" s="6"/>
      <c r="M122" s="6"/>
      <c r="N122" s="6"/>
    </row>
    <row r="123" spans="1:14" ht="63">
      <c r="A123" s="11"/>
      <c r="B123" s="113"/>
      <c r="C123" s="48" t="str">
        <f>master!C100</f>
        <v>リモートリポジトリの操作</v>
      </c>
      <c r="D123" s="118" t="s">
        <v>186</v>
      </c>
      <c r="E123" s="119"/>
      <c r="F123" s="120"/>
      <c r="G123" s="48" t="s">
        <v>187</v>
      </c>
      <c r="H123" s="12"/>
      <c r="I123" s="46" t="s">
        <v>88</v>
      </c>
      <c r="J123" s="44">
        <v>0</v>
      </c>
      <c r="K123" s="89" t="s">
        <v>168</v>
      </c>
      <c r="L123" s="6"/>
      <c r="M123" s="6"/>
      <c r="N123" s="6"/>
    </row>
    <row r="124" spans="1:14" ht="113.4">
      <c r="A124" s="11"/>
      <c r="B124" s="114"/>
      <c r="C124" s="48" t="str">
        <f>master!C101</f>
        <v>ブランチの操作</v>
      </c>
      <c r="D124" s="118" t="s">
        <v>188</v>
      </c>
      <c r="E124" s="119"/>
      <c r="F124" s="120"/>
      <c r="G124" s="48" t="s">
        <v>189</v>
      </c>
      <c r="H124" s="12"/>
      <c r="I124" s="46" t="s">
        <v>88</v>
      </c>
      <c r="J124" s="44">
        <v>0</v>
      </c>
      <c r="K124" s="89" t="s">
        <v>190</v>
      </c>
      <c r="L124" s="6"/>
      <c r="M124" s="6"/>
      <c r="N124" s="6"/>
    </row>
    <row r="125" spans="1:14" ht="25.2">
      <c r="A125" s="11"/>
      <c r="B125" s="115" t="str">
        <f>master!B103</f>
        <v>演習の概要について</v>
      </c>
      <c r="C125" s="58" t="str">
        <f>master!C103</f>
        <v>はじめに</v>
      </c>
      <c r="D125" s="109"/>
      <c r="E125" s="110"/>
      <c r="F125" s="111"/>
      <c r="G125" s="58" t="s">
        <v>191</v>
      </c>
      <c r="H125" s="59"/>
      <c r="I125" s="60" t="s">
        <v>33</v>
      </c>
      <c r="J125" s="61">
        <v>6.9444444444444447E-4</v>
      </c>
      <c r="K125" s="62"/>
      <c r="L125" s="6"/>
      <c r="M125" s="6"/>
      <c r="N125" s="6"/>
    </row>
    <row r="126" spans="1:14" ht="50.4">
      <c r="A126" s="11"/>
      <c r="B126" s="116"/>
      <c r="C126" s="58" t="str">
        <f>master!C104</f>
        <v>構成</v>
      </c>
      <c r="D126" s="109" t="s">
        <v>192</v>
      </c>
      <c r="E126" s="110"/>
      <c r="F126" s="111"/>
      <c r="G126" s="58" t="s">
        <v>193</v>
      </c>
      <c r="H126" s="59"/>
      <c r="I126" s="60" t="s">
        <v>33</v>
      </c>
      <c r="J126" s="61">
        <v>6.9444444444444447E-4</v>
      </c>
      <c r="K126" s="62"/>
      <c r="L126" s="6"/>
      <c r="M126" s="6"/>
      <c r="N126" s="6"/>
    </row>
    <row r="127" spans="1:14" ht="50.4">
      <c r="A127" s="11"/>
      <c r="B127" s="117"/>
      <c r="C127" s="58" t="str">
        <f>master!C105</f>
        <v>利用するソフトウェア</v>
      </c>
      <c r="D127" s="109" t="s">
        <v>194</v>
      </c>
      <c r="E127" s="110"/>
      <c r="F127" s="111"/>
      <c r="G127" s="58" t="s">
        <v>193</v>
      </c>
      <c r="H127" s="59"/>
      <c r="I127" s="60" t="s">
        <v>33</v>
      </c>
      <c r="J127" s="61">
        <v>6.9444444444444447E-4</v>
      </c>
      <c r="K127" s="62" t="s">
        <v>195</v>
      </c>
      <c r="L127" s="6"/>
      <c r="M127" s="6"/>
      <c r="N127" s="6"/>
    </row>
    <row r="128" spans="1:14" ht="176.4">
      <c r="A128" s="11"/>
      <c r="B128" s="115" t="str">
        <f>master!B106</f>
        <v>ローカルリポジトリの操作</v>
      </c>
      <c r="C128" s="58" t="str">
        <f>master!C106</f>
        <v>演習の前に</v>
      </c>
      <c r="D128" s="109" t="s">
        <v>196</v>
      </c>
      <c r="E128" s="110"/>
      <c r="F128" s="111"/>
      <c r="G128" s="58" t="s">
        <v>197</v>
      </c>
      <c r="H128" s="59"/>
      <c r="I128" s="60" t="s">
        <v>33</v>
      </c>
      <c r="J128" s="61">
        <v>3.472222222222222E-3</v>
      </c>
      <c r="K128" s="62"/>
      <c r="L128" s="6"/>
      <c r="M128" s="6"/>
      <c r="N128" s="6"/>
    </row>
    <row r="129" spans="1:14" ht="37.799999999999997">
      <c r="A129" s="11"/>
      <c r="B129" s="116"/>
      <c r="C129" s="58" t="str">
        <f>master!C107</f>
        <v>リポジトリの作成</v>
      </c>
      <c r="D129" s="109" t="s">
        <v>198</v>
      </c>
      <c r="E129" s="110"/>
      <c r="F129" s="111"/>
      <c r="G129" s="58" t="s">
        <v>199</v>
      </c>
      <c r="H129" s="59"/>
      <c r="I129" s="60" t="s">
        <v>33</v>
      </c>
      <c r="J129" s="61">
        <v>3.472222222222222E-3</v>
      </c>
      <c r="K129" s="62"/>
      <c r="L129" s="6"/>
      <c r="M129" s="6"/>
      <c r="N129" s="6"/>
    </row>
    <row r="130" spans="1:14" ht="37.799999999999997">
      <c r="A130" s="11"/>
      <c r="B130" s="116"/>
      <c r="C130" s="58" t="str">
        <f>master!C108</f>
        <v>変更内容の確認</v>
      </c>
      <c r="D130" s="109" t="s">
        <v>198</v>
      </c>
      <c r="E130" s="110"/>
      <c r="F130" s="111"/>
      <c r="G130" s="58" t="s">
        <v>199</v>
      </c>
      <c r="H130" s="59"/>
      <c r="I130" s="60" t="s">
        <v>33</v>
      </c>
      <c r="J130" s="61">
        <v>3.472222222222222E-3</v>
      </c>
      <c r="K130" s="62"/>
      <c r="L130" s="6"/>
      <c r="M130" s="6"/>
      <c r="N130" s="6"/>
    </row>
    <row r="131" spans="1:14" ht="37.799999999999997">
      <c r="A131" s="11"/>
      <c r="B131" s="116"/>
      <c r="C131" s="58" t="str">
        <f>master!C109</f>
        <v>変更内容のステージング</v>
      </c>
      <c r="D131" s="109" t="s">
        <v>198</v>
      </c>
      <c r="E131" s="110"/>
      <c r="F131" s="111"/>
      <c r="G131" s="58" t="s">
        <v>199</v>
      </c>
      <c r="H131" s="59"/>
      <c r="I131" s="60" t="s">
        <v>33</v>
      </c>
      <c r="J131" s="61">
        <v>3.472222222222222E-3</v>
      </c>
      <c r="K131" s="62"/>
      <c r="L131" s="6"/>
      <c r="M131" s="6"/>
      <c r="N131" s="6"/>
    </row>
    <row r="132" spans="1:14" ht="37.799999999999997">
      <c r="A132" s="11"/>
      <c r="B132" s="117"/>
      <c r="C132" s="58" t="str">
        <f>master!C110</f>
        <v>変更内容のコミット</v>
      </c>
      <c r="D132" s="109" t="s">
        <v>198</v>
      </c>
      <c r="E132" s="110"/>
      <c r="F132" s="111"/>
      <c r="G132" s="58" t="s">
        <v>199</v>
      </c>
      <c r="H132" s="59"/>
      <c r="I132" s="60" t="s">
        <v>33</v>
      </c>
      <c r="J132" s="61">
        <v>3.472222222222222E-3</v>
      </c>
      <c r="K132" s="62"/>
      <c r="L132" s="6"/>
      <c r="M132" s="6"/>
      <c r="N132" s="6"/>
    </row>
    <row r="133" spans="1:14" ht="163.80000000000001">
      <c r="A133" s="11"/>
      <c r="B133" s="115" t="str">
        <f>master!B111</f>
        <v>ブランチの操作</v>
      </c>
      <c r="C133" s="58" t="str">
        <f>master!C111</f>
        <v>演習の前に</v>
      </c>
      <c r="D133" s="109" t="s">
        <v>200</v>
      </c>
      <c r="E133" s="110"/>
      <c r="F133" s="111"/>
      <c r="G133" s="58" t="s">
        <v>201</v>
      </c>
      <c r="H133" s="59"/>
      <c r="I133" s="60" t="s">
        <v>88</v>
      </c>
      <c r="J133" s="61">
        <v>0</v>
      </c>
      <c r="K133" s="62" t="s">
        <v>190</v>
      </c>
      <c r="L133" s="6"/>
      <c r="M133" s="6"/>
      <c r="N133" s="6"/>
    </row>
    <row r="134" spans="1:14" ht="37.799999999999997">
      <c r="A134" s="11"/>
      <c r="B134" s="116"/>
      <c r="C134" s="58" t="str">
        <f>master!C112</f>
        <v>ブランチの作成</v>
      </c>
      <c r="D134" s="109" t="s">
        <v>198</v>
      </c>
      <c r="E134" s="110"/>
      <c r="F134" s="111"/>
      <c r="G134" s="58" t="s">
        <v>199</v>
      </c>
      <c r="H134" s="59"/>
      <c r="I134" s="60" t="s">
        <v>88</v>
      </c>
      <c r="J134" s="61">
        <v>0</v>
      </c>
      <c r="K134" s="62" t="s">
        <v>190</v>
      </c>
      <c r="L134" s="6"/>
      <c r="M134" s="6"/>
      <c r="N134" s="6"/>
    </row>
    <row r="135" spans="1:14" ht="37.799999999999997">
      <c r="A135" s="11"/>
      <c r="B135" s="116"/>
      <c r="C135" s="58" t="str">
        <f>master!C113</f>
        <v>ブランチの切り替え</v>
      </c>
      <c r="D135" s="109" t="s">
        <v>198</v>
      </c>
      <c r="E135" s="110"/>
      <c r="F135" s="111"/>
      <c r="G135" s="58" t="s">
        <v>199</v>
      </c>
      <c r="H135" s="59"/>
      <c r="I135" s="60" t="s">
        <v>88</v>
      </c>
      <c r="J135" s="61">
        <v>0</v>
      </c>
      <c r="K135" s="62" t="s">
        <v>190</v>
      </c>
      <c r="L135" s="6"/>
      <c r="M135" s="6"/>
      <c r="N135" s="6"/>
    </row>
    <row r="136" spans="1:14" ht="37.799999999999997">
      <c r="A136" s="11"/>
      <c r="B136" s="117"/>
      <c r="C136" s="58" t="str">
        <f>master!C114</f>
        <v>ブランチのマージ</v>
      </c>
      <c r="D136" s="109" t="s">
        <v>198</v>
      </c>
      <c r="E136" s="110"/>
      <c r="F136" s="111"/>
      <c r="G136" s="58" t="s">
        <v>199</v>
      </c>
      <c r="H136" s="59"/>
      <c r="I136" s="60" t="s">
        <v>88</v>
      </c>
      <c r="J136" s="61">
        <v>0</v>
      </c>
      <c r="K136" s="62" t="s">
        <v>190</v>
      </c>
      <c r="L136" s="6"/>
      <c r="M136" s="6"/>
      <c r="N136" s="6"/>
    </row>
    <row r="137" spans="1:14" ht="214.2">
      <c r="A137" s="11"/>
      <c r="B137" s="86" t="str">
        <f>master!B67</f>
        <v>課題1の実施</v>
      </c>
      <c r="C137" s="58" t="str">
        <f>master!C67</f>
        <v>ここから各自で演習を始めましょう。</v>
      </c>
      <c r="D137" s="109" t="s">
        <v>202</v>
      </c>
      <c r="E137" s="110"/>
      <c r="F137" s="111"/>
      <c r="G137" s="58" t="s">
        <v>119</v>
      </c>
      <c r="H137" s="59"/>
      <c r="I137" s="60" t="s">
        <v>203</v>
      </c>
      <c r="J137" s="61" t="s">
        <v>204</v>
      </c>
      <c r="K137" s="62"/>
      <c r="L137" s="6"/>
      <c r="M137" s="6"/>
      <c r="N137" s="6"/>
    </row>
    <row r="138" spans="1:14" ht="50.4">
      <c r="A138" s="11"/>
      <c r="B138" s="127" t="str">
        <f>master!B116</f>
        <v>単体テストとJunitの導入</v>
      </c>
      <c r="C138" s="78" t="str">
        <f>master!C116</f>
        <v>講義の目的</v>
      </c>
      <c r="D138" s="118" t="s">
        <v>205</v>
      </c>
      <c r="E138" s="119"/>
      <c r="F138" s="120"/>
      <c r="G138" s="48" t="s">
        <v>206</v>
      </c>
      <c r="H138" s="12"/>
      <c r="I138" s="46" t="s">
        <v>33</v>
      </c>
      <c r="J138" s="44">
        <v>6.9444444444444447E-4</v>
      </c>
      <c r="K138" s="40"/>
      <c r="L138" s="6"/>
      <c r="M138" s="6"/>
      <c r="N138" s="6"/>
    </row>
    <row r="139" spans="1:14" ht="25.2">
      <c r="A139" s="11"/>
      <c r="B139" s="128"/>
      <c r="C139" s="78" t="str">
        <f>master!C117</f>
        <v>TERASOLUNA 開発手順　 ※再掲</v>
      </c>
      <c r="D139" s="118"/>
      <c r="E139" s="119"/>
      <c r="F139" s="120"/>
      <c r="G139" s="48" t="s">
        <v>207</v>
      </c>
      <c r="H139" s="12"/>
      <c r="I139" s="46" t="s">
        <v>33</v>
      </c>
      <c r="J139" s="44">
        <v>6.9444444444444447E-4</v>
      </c>
      <c r="K139" s="40"/>
      <c r="L139" s="6"/>
      <c r="M139" s="6"/>
      <c r="N139" s="6"/>
    </row>
    <row r="140" spans="1:14" ht="25.2">
      <c r="A140" s="11"/>
      <c r="B140" s="129"/>
      <c r="C140" s="78" t="str">
        <f>master!C118</f>
        <v>V字モデル　 ※再掲</v>
      </c>
      <c r="D140" s="118" t="s">
        <v>208</v>
      </c>
      <c r="E140" s="119"/>
      <c r="F140" s="120"/>
      <c r="G140" s="48" t="s">
        <v>207</v>
      </c>
      <c r="H140" s="12"/>
      <c r="I140" s="46" t="s">
        <v>33</v>
      </c>
      <c r="J140" s="44">
        <v>6.9444444444444447E-4</v>
      </c>
      <c r="K140" s="40"/>
      <c r="L140" s="6"/>
      <c r="M140" s="6"/>
      <c r="N140" s="6"/>
    </row>
    <row r="141" spans="1:14" ht="50.4">
      <c r="A141" s="11"/>
      <c r="B141" s="127" t="str">
        <f>master!B119</f>
        <v>テストとは</v>
      </c>
      <c r="C141" s="78" t="str">
        <f>master!C119</f>
        <v>テストとは</v>
      </c>
      <c r="D141" s="118" t="s">
        <v>209</v>
      </c>
      <c r="E141" s="119"/>
      <c r="F141" s="120"/>
      <c r="G141" s="48" t="s">
        <v>206</v>
      </c>
      <c r="H141" s="12"/>
      <c r="I141" s="46" t="s">
        <v>33</v>
      </c>
      <c r="J141" s="44">
        <v>2.0833333333333333E-3</v>
      </c>
      <c r="K141" s="40"/>
      <c r="L141" s="6"/>
      <c r="M141" s="6"/>
      <c r="N141" s="6"/>
    </row>
    <row r="142" spans="1:14" ht="315">
      <c r="A142" s="11"/>
      <c r="B142" s="128"/>
      <c r="C142" s="78" t="str">
        <f>master!C120</f>
        <v>テストの目的</v>
      </c>
      <c r="D142" s="118" t="s">
        <v>210</v>
      </c>
      <c r="E142" s="119"/>
      <c r="F142" s="120"/>
      <c r="G142" s="48" t="s">
        <v>211</v>
      </c>
      <c r="H142" s="12"/>
      <c r="I142" s="46" t="s">
        <v>33</v>
      </c>
      <c r="J142" s="44">
        <v>3.472222222222222E-3</v>
      </c>
      <c r="K142" s="40"/>
      <c r="L142" s="6"/>
      <c r="M142" s="6"/>
      <c r="N142" s="6"/>
    </row>
    <row r="143" spans="1:14" ht="25.2">
      <c r="A143" s="11"/>
      <c r="B143" s="128"/>
      <c r="C143" s="78" t="str">
        <f>master!C121</f>
        <v>テストを実施しなかった場合…</v>
      </c>
      <c r="D143" s="118" t="s">
        <v>212</v>
      </c>
      <c r="E143" s="119"/>
      <c r="F143" s="120"/>
      <c r="G143" s="48" t="s">
        <v>207</v>
      </c>
      <c r="H143" s="12"/>
      <c r="I143" s="46" t="s">
        <v>33</v>
      </c>
      <c r="J143" s="44">
        <v>2.0833333333333333E-3</v>
      </c>
      <c r="K143" s="40"/>
      <c r="L143" s="6"/>
      <c r="M143" s="6"/>
      <c r="N143" s="6"/>
    </row>
    <row r="144" spans="1:14" ht="100.8">
      <c r="A144" s="11"/>
      <c r="B144" s="129"/>
      <c r="C144" s="78" t="str">
        <f>master!C122</f>
        <v>コラム：テストとデバッグ</v>
      </c>
      <c r="D144" s="118" t="s">
        <v>213</v>
      </c>
      <c r="E144" s="119"/>
      <c r="F144" s="120"/>
      <c r="G144" s="48" t="s">
        <v>214</v>
      </c>
      <c r="H144" s="12"/>
      <c r="I144" s="46" t="s">
        <v>33</v>
      </c>
      <c r="J144" s="44">
        <v>2.0833333333333333E-3</v>
      </c>
      <c r="K144" s="40"/>
      <c r="L144" s="6"/>
      <c r="M144" s="6"/>
      <c r="N144" s="6"/>
    </row>
    <row r="145" spans="1:14" ht="50.4">
      <c r="A145" s="11"/>
      <c r="B145" s="127" t="str">
        <f>master!B123</f>
        <v>単体テストとは</v>
      </c>
      <c r="C145" s="78" t="str">
        <f>master!C123</f>
        <v>単体テスト（Unit Test）とは</v>
      </c>
      <c r="D145" s="118" t="s">
        <v>215</v>
      </c>
      <c r="E145" s="119"/>
      <c r="F145" s="120"/>
      <c r="G145" s="48" t="s">
        <v>206</v>
      </c>
      <c r="H145" s="12"/>
      <c r="I145" s="46" t="s">
        <v>33</v>
      </c>
      <c r="J145" s="44">
        <v>6.9444444444444447E-4</v>
      </c>
      <c r="K145" s="40"/>
      <c r="L145" s="6"/>
      <c r="M145" s="6"/>
      <c r="N145" s="6"/>
    </row>
    <row r="146" spans="1:14" ht="25.2">
      <c r="A146" s="11"/>
      <c r="B146" s="128"/>
      <c r="C146" s="78" t="str">
        <f>master!C124</f>
        <v xml:space="preserve">V字モデル　– 製造/単体テスト –　※再掲 </v>
      </c>
      <c r="D146" s="118"/>
      <c r="E146" s="119"/>
      <c r="F146" s="120"/>
      <c r="G146" s="48" t="s">
        <v>207</v>
      </c>
      <c r="H146" s="12"/>
      <c r="I146" s="46" t="s">
        <v>33</v>
      </c>
      <c r="J146" s="44">
        <v>6.9444444444444447E-4</v>
      </c>
      <c r="K146" s="40"/>
      <c r="L146" s="6"/>
      <c r="M146" s="6"/>
      <c r="N146" s="6"/>
    </row>
    <row r="147" spans="1:14" ht="302.39999999999998">
      <c r="A147" s="11"/>
      <c r="B147" s="128"/>
      <c r="C147" s="78" t="str">
        <f>master!C125</f>
        <v>テスト設計の流れ</v>
      </c>
      <c r="D147" s="118" t="s">
        <v>216</v>
      </c>
      <c r="E147" s="119"/>
      <c r="F147" s="120"/>
      <c r="G147" s="48" t="s">
        <v>217</v>
      </c>
      <c r="H147" s="12"/>
      <c r="I147" s="46" t="s">
        <v>33</v>
      </c>
      <c r="J147" s="44">
        <v>3.472222222222222E-3</v>
      </c>
      <c r="K147" s="40"/>
      <c r="L147" s="6"/>
      <c r="M147" s="6"/>
      <c r="N147" s="6"/>
    </row>
    <row r="148" spans="1:14" ht="37.799999999999997">
      <c r="A148" s="11"/>
      <c r="B148" s="128"/>
      <c r="C148" s="78" t="str">
        <f>master!C126</f>
        <v>テスト設計の例</v>
      </c>
      <c r="D148" s="118" t="s">
        <v>218</v>
      </c>
      <c r="E148" s="119"/>
      <c r="F148" s="120"/>
      <c r="G148" s="48" t="s">
        <v>219</v>
      </c>
      <c r="H148" s="12"/>
      <c r="I148" s="46" t="s">
        <v>33</v>
      </c>
      <c r="J148" s="44">
        <v>3.472222222222222E-3</v>
      </c>
      <c r="K148" s="40"/>
      <c r="L148" s="6"/>
      <c r="M148" s="6"/>
      <c r="N148" s="6"/>
    </row>
    <row r="149" spans="1:14" ht="75.599999999999994">
      <c r="A149" s="11"/>
      <c r="B149" s="128"/>
      <c r="C149" s="78" t="str">
        <f>master!C127</f>
        <v>単体テスト（Unit Test）とは</v>
      </c>
      <c r="D149" s="118" t="s">
        <v>220</v>
      </c>
      <c r="E149" s="119"/>
      <c r="F149" s="120"/>
      <c r="G149" s="48" t="s">
        <v>221</v>
      </c>
      <c r="H149" s="12"/>
      <c r="I149" s="46" t="s">
        <v>33</v>
      </c>
      <c r="J149" s="44">
        <v>6.9444444444444447E-4</v>
      </c>
      <c r="K149" s="40"/>
      <c r="L149" s="6"/>
      <c r="M149" s="6"/>
      <c r="N149" s="6"/>
    </row>
    <row r="150" spans="1:14" ht="113.4">
      <c r="A150" s="11"/>
      <c r="B150" s="128"/>
      <c r="C150" s="78" t="str">
        <f>master!C128</f>
        <v>テスト技法 – ブラックボックステスト技法 –</v>
      </c>
      <c r="D150" s="118" t="s">
        <v>222</v>
      </c>
      <c r="E150" s="119"/>
      <c r="F150" s="120"/>
      <c r="G150" s="48" t="s">
        <v>223</v>
      </c>
      <c r="H150" s="12"/>
      <c r="I150" s="46" t="s">
        <v>33</v>
      </c>
      <c r="J150" s="44">
        <v>2.0833333333333333E-3</v>
      </c>
      <c r="K150" s="40"/>
      <c r="L150" s="6"/>
      <c r="M150" s="6"/>
      <c r="N150" s="6"/>
    </row>
    <row r="151" spans="1:14" ht="201.6">
      <c r="A151" s="11"/>
      <c r="B151" s="128"/>
      <c r="C151" s="78" t="str">
        <f>master!C129</f>
        <v>ブラックボックステスト：同値分割法</v>
      </c>
      <c r="D151" s="118" t="s">
        <v>224</v>
      </c>
      <c r="E151" s="119"/>
      <c r="F151" s="120"/>
      <c r="G151" s="48" t="s">
        <v>225</v>
      </c>
      <c r="H151" s="12"/>
      <c r="I151" s="46" t="s">
        <v>33</v>
      </c>
      <c r="J151" s="44">
        <v>3.472222222222222E-3</v>
      </c>
      <c r="K151" s="40"/>
      <c r="L151" s="6"/>
      <c r="M151" s="6"/>
      <c r="N151" s="6"/>
    </row>
    <row r="152" spans="1:14" ht="113.4">
      <c r="A152" s="11"/>
      <c r="B152" s="128"/>
      <c r="C152" s="78" t="str">
        <f>master!C130</f>
        <v>ブラックボックステスト：境界値分析</v>
      </c>
      <c r="D152" s="118" t="s">
        <v>226</v>
      </c>
      <c r="E152" s="119"/>
      <c r="F152" s="120"/>
      <c r="G152" s="48" t="s">
        <v>223</v>
      </c>
      <c r="H152" s="12"/>
      <c r="I152" s="46" t="s">
        <v>33</v>
      </c>
      <c r="J152" s="44">
        <v>6.9444444444444441E-3</v>
      </c>
      <c r="K152" s="40"/>
      <c r="L152" s="6"/>
      <c r="M152" s="6"/>
      <c r="N152" s="6"/>
    </row>
    <row r="153" spans="1:14" ht="176.4">
      <c r="A153" s="11"/>
      <c r="B153" s="128"/>
      <c r="C153" s="78" t="str">
        <f>master!C131</f>
        <v>ブラックボックステスト：ディシジョンテーブルテスト</v>
      </c>
      <c r="D153" s="118" t="s">
        <v>227</v>
      </c>
      <c r="E153" s="119"/>
      <c r="F153" s="120"/>
      <c r="G153" s="48" t="s">
        <v>228</v>
      </c>
      <c r="H153" s="12"/>
      <c r="I153" s="46" t="s">
        <v>33</v>
      </c>
      <c r="J153" s="44">
        <v>3.472222222222222E-3</v>
      </c>
      <c r="K153" s="40"/>
      <c r="L153" s="6"/>
      <c r="M153" s="6"/>
      <c r="N153" s="6"/>
    </row>
    <row r="154" spans="1:14" ht="37.799999999999997">
      <c r="A154" s="11"/>
      <c r="B154" s="128"/>
      <c r="C154" s="78" t="str">
        <f>master!C132</f>
        <v>ブラックボックステスト：状態遷移テスト</v>
      </c>
      <c r="D154" s="118" t="s">
        <v>229</v>
      </c>
      <c r="E154" s="119"/>
      <c r="F154" s="120"/>
      <c r="G154" s="48" t="s">
        <v>219</v>
      </c>
      <c r="H154" s="12"/>
      <c r="I154" s="46" t="s">
        <v>33</v>
      </c>
      <c r="J154" s="44">
        <v>3.472222222222222E-3</v>
      </c>
      <c r="K154" s="40"/>
      <c r="L154" s="6"/>
      <c r="M154" s="6"/>
      <c r="N154" s="6"/>
    </row>
    <row r="155" spans="1:14" ht="88.2">
      <c r="A155" s="11"/>
      <c r="B155" s="128"/>
      <c r="C155" s="78" t="str">
        <f>master!C133</f>
        <v>テスト技法 – ホワイトボックステスト技法 –</v>
      </c>
      <c r="D155" s="118" t="s">
        <v>230</v>
      </c>
      <c r="E155" s="119"/>
      <c r="F155" s="120"/>
      <c r="G155" s="48" t="s">
        <v>231</v>
      </c>
      <c r="H155" s="12"/>
      <c r="I155" s="46" t="s">
        <v>33</v>
      </c>
      <c r="J155" s="44">
        <v>2.0833333333333333E-3</v>
      </c>
      <c r="K155" s="40"/>
      <c r="L155" s="6"/>
      <c r="M155" s="6"/>
      <c r="N155" s="6"/>
    </row>
    <row r="156" spans="1:14" ht="151.19999999999999">
      <c r="A156" s="11"/>
      <c r="B156" s="128"/>
      <c r="C156" s="78" t="str">
        <f>master!C134</f>
        <v>ホワイトボックステストの評価基準</v>
      </c>
      <c r="D156" s="118" t="s">
        <v>232</v>
      </c>
      <c r="E156" s="119"/>
      <c r="F156" s="120"/>
      <c r="G156" s="48" t="s">
        <v>233</v>
      </c>
      <c r="H156" s="12"/>
      <c r="I156" s="46" t="s">
        <v>33</v>
      </c>
      <c r="J156" s="44">
        <v>3.472222222222222E-3</v>
      </c>
      <c r="K156" s="40"/>
      <c r="L156" s="6"/>
      <c r="M156" s="6"/>
      <c r="N156" s="6"/>
    </row>
    <row r="157" spans="1:14" ht="37.799999999999997">
      <c r="A157" s="11"/>
      <c r="B157" s="128"/>
      <c r="C157" s="78" t="str">
        <f>master!C135</f>
        <v>ホワイトボックステスト：ステートメントテスト</v>
      </c>
      <c r="D157" s="118" t="s">
        <v>234</v>
      </c>
      <c r="E157" s="119"/>
      <c r="F157" s="120"/>
      <c r="G157" s="48" t="s">
        <v>219</v>
      </c>
      <c r="H157" s="12"/>
      <c r="I157" s="46" t="s">
        <v>33</v>
      </c>
      <c r="J157" s="44">
        <v>3.472222222222222E-3</v>
      </c>
      <c r="K157" s="40"/>
      <c r="L157" s="6"/>
      <c r="M157" s="6"/>
      <c r="N157" s="6"/>
    </row>
    <row r="158" spans="1:14" ht="37.799999999999997">
      <c r="A158" s="11"/>
      <c r="B158" s="128"/>
      <c r="C158" s="78" t="str">
        <f>master!C136</f>
        <v>ホワイトボックステスト：ブランチテスト</v>
      </c>
      <c r="D158" s="118" t="s">
        <v>235</v>
      </c>
      <c r="E158" s="119"/>
      <c r="F158" s="120"/>
      <c r="G158" s="48" t="s">
        <v>219</v>
      </c>
      <c r="H158" s="12"/>
      <c r="I158" s="46" t="s">
        <v>33</v>
      </c>
      <c r="J158" s="44">
        <v>3.472222222222222E-3</v>
      </c>
      <c r="K158" s="40"/>
      <c r="L158" s="6"/>
      <c r="M158" s="6"/>
      <c r="N158" s="6"/>
    </row>
    <row r="159" spans="1:14" ht="37.799999999999997">
      <c r="A159" s="11"/>
      <c r="B159" s="128"/>
      <c r="C159" s="78" t="str">
        <f>master!C137</f>
        <v>ホワイトボックステスト：コンディションテスト</v>
      </c>
      <c r="D159" s="118" t="s">
        <v>236</v>
      </c>
      <c r="E159" s="119"/>
      <c r="F159" s="120"/>
      <c r="G159" s="48" t="s">
        <v>219</v>
      </c>
      <c r="H159" s="12"/>
      <c r="I159" s="46" t="s">
        <v>33</v>
      </c>
      <c r="J159" s="44">
        <v>3.472222222222222E-3</v>
      </c>
      <c r="K159" s="40"/>
      <c r="L159" s="6"/>
      <c r="M159" s="6"/>
      <c r="N159" s="6"/>
    </row>
    <row r="160" spans="1:14" ht="37.799999999999997">
      <c r="A160" s="11"/>
      <c r="B160" s="128"/>
      <c r="C160" s="78" t="str">
        <f>master!C138</f>
        <v>テスト技法 – 経験ベースの技法 –</v>
      </c>
      <c r="D160" s="118" t="s">
        <v>237</v>
      </c>
      <c r="E160" s="119"/>
      <c r="F160" s="120"/>
      <c r="G160" s="48" t="s">
        <v>219</v>
      </c>
      <c r="H160" s="12"/>
      <c r="I160" s="46" t="s">
        <v>33</v>
      </c>
      <c r="J160" s="44">
        <v>3.472222222222222E-3</v>
      </c>
      <c r="K160" s="40"/>
      <c r="L160" s="6"/>
      <c r="M160" s="6"/>
      <c r="N160" s="6"/>
    </row>
    <row r="161" spans="1:14" ht="100.8">
      <c r="A161" s="11"/>
      <c r="B161" s="128"/>
      <c r="C161" s="78" t="str">
        <f>master!C139</f>
        <v>スタブとドライバ</v>
      </c>
      <c r="D161" s="118" t="s">
        <v>238</v>
      </c>
      <c r="E161" s="119"/>
      <c r="F161" s="120"/>
      <c r="G161" s="48" t="s">
        <v>214</v>
      </c>
      <c r="H161" s="12"/>
      <c r="I161" s="46" t="s">
        <v>33</v>
      </c>
      <c r="J161" s="44">
        <v>3.472222222222222E-3</v>
      </c>
      <c r="K161" s="40"/>
      <c r="L161" s="6"/>
      <c r="M161" s="6"/>
      <c r="N161" s="6"/>
    </row>
    <row r="162" spans="1:14" ht="75.599999999999994">
      <c r="A162" s="11"/>
      <c r="B162" s="129"/>
      <c r="C162" s="78" t="str">
        <f>master!C140</f>
        <v>スタブとモック</v>
      </c>
      <c r="D162" s="118" t="s">
        <v>239</v>
      </c>
      <c r="E162" s="119"/>
      <c r="F162" s="120"/>
      <c r="G162" s="48" t="s">
        <v>221</v>
      </c>
      <c r="H162" s="12"/>
      <c r="I162" s="46" t="s">
        <v>33</v>
      </c>
      <c r="J162" s="44">
        <v>3.472222222222222E-3</v>
      </c>
      <c r="K162" s="40"/>
      <c r="L162" s="6"/>
      <c r="M162" s="6"/>
      <c r="N162" s="6"/>
    </row>
    <row r="163" spans="1:14" ht="37.799999999999997">
      <c r="A163" s="11"/>
      <c r="B163" s="127" t="str">
        <f>master!B141</f>
        <v>JUnit</v>
      </c>
      <c r="C163" s="78" t="str">
        <f>master!C141</f>
        <v>JUnitとは</v>
      </c>
      <c r="D163" s="118" t="s">
        <v>240</v>
      </c>
      <c r="E163" s="119"/>
      <c r="F163" s="120"/>
      <c r="G163" s="48" t="s">
        <v>219</v>
      </c>
      <c r="H163" s="12"/>
      <c r="I163" s="46" t="s">
        <v>33</v>
      </c>
      <c r="J163" s="44">
        <v>1.3888888888888889E-3</v>
      </c>
      <c r="K163" s="40"/>
      <c r="L163" s="6"/>
      <c r="M163" s="6"/>
      <c r="N163" s="6"/>
    </row>
    <row r="164" spans="1:14" ht="25.2">
      <c r="A164" s="11"/>
      <c r="B164" s="129"/>
      <c r="C164" s="78" t="str">
        <f>master!C142</f>
        <v>参考文献</v>
      </c>
      <c r="D164" s="118"/>
      <c r="E164" s="119"/>
      <c r="F164" s="120"/>
      <c r="G164" s="48" t="s">
        <v>207</v>
      </c>
      <c r="H164" s="12"/>
      <c r="I164" s="46" t="s">
        <v>33</v>
      </c>
      <c r="J164" s="44">
        <v>6.9444444444444447E-4</v>
      </c>
      <c r="K164" s="40"/>
      <c r="L164" s="6"/>
      <c r="M164" s="6"/>
      <c r="N164" s="6"/>
    </row>
    <row r="165" spans="1:14" ht="37.799999999999997">
      <c r="A165" s="11"/>
      <c r="B165" s="88" t="str">
        <f>master!B67</f>
        <v>課題1の実施</v>
      </c>
      <c r="C165" s="58" t="str">
        <f>master!C67</f>
        <v>ここから各自で演習を始めましょう。</v>
      </c>
      <c r="D165" s="109" t="s">
        <v>241</v>
      </c>
      <c r="E165" s="110"/>
      <c r="F165" s="111"/>
      <c r="G165" s="58" t="s">
        <v>63</v>
      </c>
      <c r="H165" s="59"/>
      <c r="I165" s="60" t="s">
        <v>33</v>
      </c>
      <c r="J165" s="61" t="s">
        <v>204</v>
      </c>
      <c r="K165" s="62"/>
      <c r="L165" s="6"/>
      <c r="M165" s="6"/>
      <c r="N165" s="6"/>
    </row>
    <row r="166" spans="1:14" ht="25.2">
      <c r="A166" s="11"/>
      <c r="B166" s="121" t="str">
        <f>master!B144</f>
        <v>課題2の導入</v>
      </c>
      <c r="C166" s="58" t="str">
        <f>master!C144</f>
        <v>演習課題の概要</v>
      </c>
      <c r="D166" s="109" t="s">
        <v>242</v>
      </c>
      <c r="E166" s="110"/>
      <c r="F166" s="111"/>
      <c r="G166" s="58" t="s">
        <v>243</v>
      </c>
      <c r="H166" s="59"/>
      <c r="I166" s="60" t="s">
        <v>33</v>
      </c>
      <c r="J166" s="61">
        <v>6.9444444444444447E-4</v>
      </c>
      <c r="K166" s="62"/>
      <c r="L166" s="6"/>
      <c r="M166" s="6"/>
      <c r="N166" s="6"/>
    </row>
    <row r="167" spans="1:14" ht="138.6">
      <c r="A167" s="11"/>
      <c r="B167" s="122"/>
      <c r="C167" s="58" t="str">
        <f>master!C145</f>
        <v>[構造理解] Webアプリケーションで必要なもの  ※再掲</v>
      </c>
      <c r="D167" s="109" t="s">
        <v>244</v>
      </c>
      <c r="E167" s="110"/>
      <c r="F167" s="111"/>
      <c r="G167" s="58" t="s">
        <v>245</v>
      </c>
      <c r="H167" s="59"/>
      <c r="I167" s="60" t="s">
        <v>33</v>
      </c>
      <c r="J167" s="61">
        <v>2.0833333333333333E-3</v>
      </c>
      <c r="K167" s="62"/>
      <c r="L167" s="6"/>
      <c r="M167" s="6"/>
      <c r="N167" s="6"/>
    </row>
    <row r="168" spans="1:14" ht="50.4">
      <c r="A168" s="11"/>
      <c r="B168" s="122"/>
      <c r="C168" s="58" t="str">
        <f>master!C146</f>
        <v>テストクラスを作成する単位</v>
      </c>
      <c r="D168" s="109" t="s">
        <v>246</v>
      </c>
      <c r="E168" s="110"/>
      <c r="F168" s="111"/>
      <c r="G168" s="58" t="s">
        <v>247</v>
      </c>
      <c r="H168" s="59"/>
      <c r="I168" s="60" t="s">
        <v>33</v>
      </c>
      <c r="J168" s="61">
        <v>2.0833333333333333E-3</v>
      </c>
      <c r="K168" s="62"/>
      <c r="L168" s="6"/>
      <c r="M168" s="6"/>
      <c r="N168" s="6"/>
    </row>
    <row r="169" spans="1:14" ht="113.4">
      <c r="A169" s="11"/>
      <c r="B169" s="123"/>
      <c r="C169" s="58" t="str">
        <f>master!C147</f>
        <v>JUnitで単体テスト</v>
      </c>
      <c r="D169" s="109" t="s">
        <v>248</v>
      </c>
      <c r="E169" s="110"/>
      <c r="F169" s="111"/>
      <c r="G169" s="58" t="s">
        <v>249</v>
      </c>
      <c r="H169" s="59"/>
      <c r="I169" s="60" t="s">
        <v>33</v>
      </c>
      <c r="J169" s="61">
        <v>3.472222222222222E-3</v>
      </c>
      <c r="K169" s="62"/>
      <c r="L169" s="6"/>
      <c r="M169" s="6"/>
      <c r="N169" s="6"/>
    </row>
    <row r="170" spans="1:14" ht="25.2">
      <c r="A170" s="11"/>
      <c r="B170" s="121" t="str">
        <f>master!B148</f>
        <v>ハンズオン</v>
      </c>
      <c r="C170" s="58" t="str">
        <f>master!C148</f>
        <v>バイブコーディングで単体テスト – はじめに</v>
      </c>
      <c r="D170" s="109" t="s">
        <v>250</v>
      </c>
      <c r="E170" s="110"/>
      <c r="F170" s="111"/>
      <c r="G170" s="58" t="s">
        <v>243</v>
      </c>
      <c r="H170" s="59"/>
      <c r="I170" s="60" t="s">
        <v>33</v>
      </c>
      <c r="J170" s="61">
        <v>6.9444444444444447E-4</v>
      </c>
      <c r="K170" s="62"/>
      <c r="L170" s="6"/>
      <c r="M170" s="6"/>
      <c r="N170" s="6"/>
    </row>
    <row r="171" spans="1:14" ht="50.4">
      <c r="A171" s="11"/>
      <c r="B171" s="122"/>
      <c r="C171" s="58" t="str">
        <f>master!C149</f>
        <v>バイブコーディング単体テスト①テスト項目表を作る</v>
      </c>
      <c r="D171" s="109" t="s">
        <v>251</v>
      </c>
      <c r="E171" s="110"/>
      <c r="F171" s="111"/>
      <c r="G171" s="58" t="s">
        <v>247</v>
      </c>
      <c r="H171" s="59"/>
      <c r="I171" s="60" t="s">
        <v>33</v>
      </c>
      <c r="J171" s="61">
        <v>3.472222222222222E-3</v>
      </c>
      <c r="K171" s="62"/>
      <c r="L171" s="6"/>
      <c r="M171" s="6"/>
      <c r="N171" s="6"/>
    </row>
    <row r="172" spans="1:14" ht="88.2">
      <c r="A172" s="11"/>
      <c r="B172" s="122"/>
      <c r="C172" s="58"/>
      <c r="D172" s="109" t="s">
        <v>132</v>
      </c>
      <c r="E172" s="110"/>
      <c r="F172" s="111"/>
      <c r="G172" s="58" t="s">
        <v>252</v>
      </c>
      <c r="H172" s="59"/>
      <c r="I172" s="60" t="s">
        <v>33</v>
      </c>
      <c r="J172" s="61">
        <v>6.9444444444444441E-3</v>
      </c>
      <c r="K172" s="62"/>
      <c r="L172" s="6"/>
      <c r="M172" s="6"/>
      <c r="N172" s="6"/>
    </row>
    <row r="173" spans="1:14" ht="50.4">
      <c r="A173" s="11"/>
      <c r="B173" s="122"/>
      <c r="C173" s="76" t="str">
        <f>master!C150</f>
        <v>バイブコーディング単体テスト②Repositoryのテストを作る</v>
      </c>
      <c r="D173" s="109" t="s">
        <v>253</v>
      </c>
      <c r="E173" s="110"/>
      <c r="F173" s="111"/>
      <c r="G173" s="58" t="s">
        <v>247</v>
      </c>
      <c r="H173" s="59"/>
      <c r="I173" s="60" t="s">
        <v>33</v>
      </c>
      <c r="J173" s="61">
        <v>3.472222222222222E-3</v>
      </c>
      <c r="K173" s="62"/>
      <c r="L173" s="6"/>
      <c r="M173" s="6"/>
      <c r="N173" s="6"/>
    </row>
    <row r="174" spans="1:14" ht="88.2">
      <c r="A174" s="11"/>
      <c r="B174" s="122"/>
      <c r="C174" s="77"/>
      <c r="D174" s="109" t="s">
        <v>132</v>
      </c>
      <c r="E174" s="110"/>
      <c r="F174" s="111"/>
      <c r="G174" s="58" t="s">
        <v>252</v>
      </c>
      <c r="H174" s="59"/>
      <c r="I174" s="60" t="s">
        <v>33</v>
      </c>
      <c r="J174" s="61">
        <v>6.9444444444444441E-3</v>
      </c>
      <c r="K174" s="62"/>
      <c r="L174" s="6"/>
      <c r="M174" s="6"/>
      <c r="N174" s="6"/>
    </row>
    <row r="175" spans="1:14" ht="138.6">
      <c r="A175" s="11"/>
      <c r="B175" s="122"/>
      <c r="C175" s="58" t="str">
        <f>master!C151</f>
        <v>[解説] Repositoryのテストクラス（抜粋）</v>
      </c>
      <c r="D175" s="109" t="s">
        <v>254</v>
      </c>
      <c r="E175" s="110"/>
      <c r="F175" s="111"/>
      <c r="G175" s="58" t="s">
        <v>245</v>
      </c>
      <c r="H175" s="59"/>
      <c r="I175" s="60" t="s">
        <v>33</v>
      </c>
      <c r="J175" s="61">
        <v>6.9444444444444441E-3</v>
      </c>
      <c r="K175" s="62"/>
      <c r="L175" s="6"/>
      <c r="M175" s="6"/>
      <c r="N175" s="6"/>
    </row>
    <row r="176" spans="1:14" ht="50.4">
      <c r="A176" s="11"/>
      <c r="B176" s="122"/>
      <c r="C176" s="76" t="str">
        <f>master!C152</f>
        <v>バイブコーディング単体テスト③Serviceのテストを作る</v>
      </c>
      <c r="D176" s="109" t="s">
        <v>253</v>
      </c>
      <c r="E176" s="110"/>
      <c r="F176" s="111"/>
      <c r="G176" s="58" t="s">
        <v>247</v>
      </c>
      <c r="H176" s="59"/>
      <c r="I176" s="60" t="s">
        <v>33</v>
      </c>
      <c r="J176" s="61">
        <v>3.472222222222222E-3</v>
      </c>
      <c r="K176" s="62"/>
      <c r="L176" s="6"/>
      <c r="M176" s="6"/>
      <c r="N176" s="6"/>
    </row>
    <row r="177" spans="1:14" ht="88.2">
      <c r="A177" s="11"/>
      <c r="B177" s="122"/>
      <c r="C177" s="77"/>
      <c r="D177" s="109" t="s">
        <v>132</v>
      </c>
      <c r="E177" s="110"/>
      <c r="F177" s="111"/>
      <c r="G177" s="58" t="s">
        <v>252</v>
      </c>
      <c r="H177" s="59"/>
      <c r="I177" s="60" t="s">
        <v>33</v>
      </c>
      <c r="J177" s="61">
        <v>6.9444444444444441E-3</v>
      </c>
      <c r="K177" s="62"/>
      <c r="L177" s="6"/>
      <c r="M177" s="6"/>
      <c r="N177" s="6"/>
    </row>
    <row r="178" spans="1:14" ht="138.6">
      <c r="A178" s="11"/>
      <c r="B178" s="122"/>
      <c r="C178" s="58" t="str">
        <f>master!C153</f>
        <v>[解説] Serviceのテストクラス（抜粋）</v>
      </c>
      <c r="D178" s="109" t="s">
        <v>255</v>
      </c>
      <c r="E178" s="110"/>
      <c r="F178" s="111"/>
      <c r="G178" s="58" t="s">
        <v>245</v>
      </c>
      <c r="H178" s="59"/>
      <c r="I178" s="60" t="s">
        <v>33</v>
      </c>
      <c r="J178" s="61">
        <v>6.9444444444444441E-3</v>
      </c>
      <c r="K178" s="62"/>
      <c r="L178" s="6"/>
      <c r="M178" s="6"/>
      <c r="N178" s="6"/>
    </row>
    <row r="179" spans="1:14" ht="50.4">
      <c r="A179" s="11"/>
      <c r="B179" s="122"/>
      <c r="C179" s="76" t="str">
        <f>master!C154</f>
        <v>バイブコーディング単体テスト④Controllerのテストを作る</v>
      </c>
      <c r="D179" s="109" t="s">
        <v>253</v>
      </c>
      <c r="E179" s="110"/>
      <c r="F179" s="111"/>
      <c r="G179" s="58" t="s">
        <v>247</v>
      </c>
      <c r="H179" s="59"/>
      <c r="I179" s="60" t="s">
        <v>33</v>
      </c>
      <c r="J179" s="61">
        <v>3.472222222222222E-3</v>
      </c>
      <c r="K179" s="62"/>
      <c r="L179" s="6"/>
      <c r="M179" s="6"/>
      <c r="N179" s="6"/>
    </row>
    <row r="180" spans="1:14" ht="88.2">
      <c r="A180" s="11"/>
      <c r="B180" s="122"/>
      <c r="C180" s="77"/>
      <c r="D180" s="109" t="s">
        <v>132</v>
      </c>
      <c r="E180" s="110"/>
      <c r="F180" s="111"/>
      <c r="G180" s="58" t="s">
        <v>252</v>
      </c>
      <c r="H180" s="59"/>
      <c r="I180" s="60" t="s">
        <v>33</v>
      </c>
      <c r="J180" s="61">
        <v>6.9444444444444441E-3</v>
      </c>
      <c r="K180" s="62"/>
      <c r="L180" s="6"/>
      <c r="M180" s="6"/>
      <c r="N180" s="6"/>
    </row>
    <row r="181" spans="1:14" ht="163.80000000000001">
      <c r="A181" s="11"/>
      <c r="B181" s="123"/>
      <c r="C181" s="58" t="str">
        <f>master!C155</f>
        <v>[解説] Controllerのテストクラス（抜粋）</v>
      </c>
      <c r="D181" s="109" t="s">
        <v>256</v>
      </c>
      <c r="E181" s="110"/>
      <c r="F181" s="111"/>
      <c r="G181" s="58" t="s">
        <v>257</v>
      </c>
      <c r="H181" s="59"/>
      <c r="I181" s="60" t="s">
        <v>33</v>
      </c>
      <c r="J181" s="61">
        <v>6.9444444444444441E-3</v>
      </c>
      <c r="K181" s="62"/>
      <c r="L181" s="6"/>
      <c r="M181" s="6"/>
      <c r="N181" s="6"/>
    </row>
    <row r="182" spans="1:14" ht="165" customHeight="1">
      <c r="A182" s="11"/>
      <c r="B182" s="121" t="str">
        <f>master!B156</f>
        <v>課題2の実施</v>
      </c>
      <c r="C182" s="58" t="str">
        <f>master!C156</f>
        <v>ここから各自で演習を始めましょう。</v>
      </c>
      <c r="D182" s="109" t="s">
        <v>258</v>
      </c>
      <c r="E182" s="110"/>
      <c r="F182" s="111"/>
      <c r="G182" s="58" t="s">
        <v>257</v>
      </c>
      <c r="H182" s="59"/>
      <c r="I182" s="60" t="s">
        <v>33</v>
      </c>
      <c r="J182" s="61" t="s">
        <v>204</v>
      </c>
      <c r="K182" s="62"/>
      <c r="L182" s="6"/>
      <c r="M182" s="6"/>
      <c r="N182" s="6"/>
    </row>
    <row r="183" spans="1:14" ht="151.19999999999999">
      <c r="A183" s="11"/>
      <c r="B183" s="123"/>
      <c r="C183" s="58" t="str">
        <f>master!C157</f>
        <v>[終了条件] 講師配布のテストプログラム(JUnit)が成功すること</v>
      </c>
      <c r="D183" s="109" t="s">
        <v>259</v>
      </c>
      <c r="E183" s="110"/>
      <c r="F183" s="111"/>
      <c r="G183" s="58" t="s">
        <v>260</v>
      </c>
      <c r="H183" s="59"/>
      <c r="I183" s="60" t="s">
        <v>88</v>
      </c>
      <c r="J183" s="61" t="s">
        <v>204</v>
      </c>
      <c r="K183" s="62" t="s">
        <v>261</v>
      </c>
      <c r="L183" s="6"/>
      <c r="M183" s="6"/>
      <c r="N183" s="6"/>
    </row>
    <row r="184" spans="1:14" ht="163.80000000000001">
      <c r="A184" s="11"/>
      <c r="B184" s="121" t="str">
        <f>master!B159</f>
        <v>追加課題</v>
      </c>
      <c r="C184" s="58" t="str">
        <f>master!C159</f>
        <v>演習課題の概要</v>
      </c>
      <c r="D184" s="109" t="s">
        <v>262</v>
      </c>
      <c r="E184" s="110"/>
      <c r="F184" s="111"/>
      <c r="G184" s="58" t="s">
        <v>201</v>
      </c>
      <c r="H184" s="59"/>
      <c r="I184" s="60" t="s">
        <v>88</v>
      </c>
      <c r="J184" s="61" t="s">
        <v>204</v>
      </c>
      <c r="K184" s="62" t="s">
        <v>263</v>
      </c>
      <c r="L184" s="6"/>
      <c r="M184" s="6"/>
      <c r="N184" s="6"/>
    </row>
    <row r="185" spans="1:14" ht="25.2">
      <c r="A185" s="11"/>
      <c r="B185" s="122"/>
      <c r="C185" s="58" t="str">
        <f>master!C160</f>
        <v>追加課題①：送料の表示機能</v>
      </c>
      <c r="D185" s="109" t="s">
        <v>264</v>
      </c>
      <c r="E185" s="110"/>
      <c r="F185" s="111"/>
      <c r="G185" s="58" t="s">
        <v>191</v>
      </c>
      <c r="H185" s="59"/>
      <c r="I185" s="60" t="s">
        <v>88</v>
      </c>
      <c r="J185" s="61" t="s">
        <v>204</v>
      </c>
      <c r="K185" s="62" t="s">
        <v>263</v>
      </c>
      <c r="L185" s="6"/>
      <c r="M185" s="6"/>
      <c r="N185" s="6"/>
    </row>
    <row r="186" spans="1:14" ht="25.2">
      <c r="A186" s="11"/>
      <c r="B186" s="122"/>
      <c r="C186" s="58" t="str">
        <f>master!C161</f>
        <v>追加課題②：クーポン機能</v>
      </c>
      <c r="D186" s="109" t="s">
        <v>264</v>
      </c>
      <c r="E186" s="110"/>
      <c r="F186" s="111"/>
      <c r="G186" s="58" t="s">
        <v>191</v>
      </c>
      <c r="H186" s="59"/>
      <c r="I186" s="60" t="s">
        <v>88</v>
      </c>
      <c r="J186" s="61" t="s">
        <v>204</v>
      </c>
      <c r="K186" s="62" t="s">
        <v>263</v>
      </c>
      <c r="L186" s="6"/>
      <c r="M186" s="6"/>
      <c r="N186" s="6"/>
    </row>
    <row r="187" spans="1:14" ht="25.2">
      <c r="A187" s="11"/>
      <c r="B187" s="123"/>
      <c r="C187" s="58" t="str">
        <f>master!C162</f>
        <v>追加課題③：ユーザーアカウント機能</v>
      </c>
      <c r="D187" s="109" t="s">
        <v>264</v>
      </c>
      <c r="E187" s="110"/>
      <c r="F187" s="111"/>
      <c r="G187" s="58" t="s">
        <v>191</v>
      </c>
      <c r="H187" s="59"/>
      <c r="I187" s="60" t="s">
        <v>88</v>
      </c>
      <c r="J187" s="61" t="s">
        <v>204</v>
      </c>
      <c r="K187" s="62" t="s">
        <v>263</v>
      </c>
      <c r="L187" s="6"/>
      <c r="M187" s="6"/>
      <c r="N187" s="6"/>
    </row>
    <row r="188" spans="1:14" ht="378">
      <c r="A188" s="11"/>
      <c r="B188" s="121" t="str">
        <f>master!B164</f>
        <v>演習の振り返り</v>
      </c>
      <c r="C188" s="58" t="str">
        <f>master!C164</f>
        <v>アプリケーションの比較・分析</v>
      </c>
      <c r="D188" s="109" t="s">
        <v>448</v>
      </c>
      <c r="E188" s="110"/>
      <c r="F188" s="111"/>
      <c r="G188" s="58" t="s">
        <v>447</v>
      </c>
      <c r="H188" s="59"/>
      <c r="I188" s="60" t="s">
        <v>33</v>
      </c>
      <c r="J188" s="61">
        <v>2.0833333333333332E-2</v>
      </c>
      <c r="K188" s="62"/>
      <c r="L188" s="6"/>
      <c r="M188" s="6"/>
      <c r="N188" s="6"/>
    </row>
    <row r="189" spans="1:14" ht="63">
      <c r="A189" s="11"/>
      <c r="B189" s="122"/>
      <c r="C189" s="58" t="str">
        <f>master!C165</f>
        <v>改善点の整理</v>
      </c>
      <c r="D189" s="109" t="s">
        <v>442</v>
      </c>
      <c r="E189" s="110"/>
      <c r="F189" s="111"/>
      <c r="G189" s="58" t="s">
        <v>441</v>
      </c>
      <c r="H189" s="59"/>
      <c r="I189" s="60" t="s">
        <v>33</v>
      </c>
      <c r="J189" s="61">
        <v>2.0833333333333332E-2</v>
      </c>
      <c r="K189" s="62"/>
      <c r="L189" s="6"/>
      <c r="M189" s="6"/>
      <c r="N189" s="6"/>
    </row>
    <row r="190" spans="1:14" ht="25.2">
      <c r="A190" s="11"/>
      <c r="B190" s="123"/>
      <c r="C190" s="58" t="str">
        <f>master!C166</f>
        <v>分析結果の共有</v>
      </c>
      <c r="D190" s="109" t="s">
        <v>443</v>
      </c>
      <c r="E190" s="110"/>
      <c r="F190" s="111"/>
      <c r="G190" s="58" t="s">
        <v>444</v>
      </c>
      <c r="H190" s="59"/>
      <c r="I190" s="60" t="s">
        <v>33</v>
      </c>
      <c r="J190" s="61">
        <v>2.0833333333333332E-2</v>
      </c>
      <c r="K190" s="62"/>
      <c r="L190" s="6"/>
      <c r="M190" s="6"/>
      <c r="N190" s="6"/>
    </row>
    <row r="191" spans="1:14" ht="15" customHeight="1">
      <c r="J191" s="43"/>
    </row>
    <row r="192" spans="1:14" ht="15" customHeight="1"/>
  </sheetData>
  <mergeCells count="204">
    <mergeCell ref="B138:B140"/>
    <mergeCell ref="B163:B164"/>
    <mergeCell ref="D165:F165"/>
    <mergeCell ref="D188:F188"/>
    <mergeCell ref="D185:F185"/>
    <mergeCell ref="D184:F184"/>
    <mergeCell ref="D166:F166"/>
    <mergeCell ref="D167:F167"/>
    <mergeCell ref="D168:F168"/>
    <mergeCell ref="D181:F181"/>
    <mergeCell ref="D182:F182"/>
    <mergeCell ref="D169:F169"/>
    <mergeCell ref="D170:F170"/>
    <mergeCell ref="D178:F178"/>
    <mergeCell ref="D172:F172"/>
    <mergeCell ref="D174:F174"/>
    <mergeCell ref="D175:F175"/>
    <mergeCell ref="B170:B181"/>
    <mergeCell ref="B166:B169"/>
    <mergeCell ref="B141:B144"/>
    <mergeCell ref="B145:B162"/>
    <mergeCell ref="D140:F140"/>
    <mergeCell ref="D141:F141"/>
    <mergeCell ref="D142:F142"/>
    <mergeCell ref="D161:F161"/>
    <mergeCell ref="D162:F162"/>
    <mergeCell ref="D144:F144"/>
    <mergeCell ref="D156:F156"/>
    <mergeCell ref="D157:F157"/>
    <mergeCell ref="D158:F158"/>
    <mergeCell ref="D159:F159"/>
    <mergeCell ref="D160:F160"/>
    <mergeCell ref="D155:F155"/>
    <mergeCell ref="D154:F154"/>
    <mergeCell ref="D150:F150"/>
    <mergeCell ref="D151:F151"/>
    <mergeCell ref="D152:F152"/>
    <mergeCell ref="D153:F153"/>
    <mergeCell ref="D116:F116"/>
    <mergeCell ref="D115:F115"/>
    <mergeCell ref="D114:F114"/>
    <mergeCell ref="D143:F143"/>
    <mergeCell ref="D145:F145"/>
    <mergeCell ref="D146:F146"/>
    <mergeCell ref="D147:F147"/>
    <mergeCell ref="D148:F148"/>
    <mergeCell ref="D149:F149"/>
    <mergeCell ref="B56:B58"/>
    <mergeCell ref="D70:F70"/>
    <mergeCell ref="D71:F71"/>
    <mergeCell ref="D72:F72"/>
    <mergeCell ref="D73:F73"/>
    <mergeCell ref="D63:F63"/>
    <mergeCell ref="D57:F57"/>
    <mergeCell ref="D58:F58"/>
    <mergeCell ref="D59:F59"/>
    <mergeCell ref="D60:F60"/>
    <mergeCell ref="D67:F67"/>
    <mergeCell ref="D68:F68"/>
    <mergeCell ref="D61:F61"/>
    <mergeCell ref="D62:F62"/>
    <mergeCell ref="D64:F64"/>
    <mergeCell ref="D65:F65"/>
    <mergeCell ref="D66:F66"/>
    <mergeCell ref="D69:F69"/>
    <mergeCell ref="D56:F56"/>
    <mergeCell ref="B63:B71"/>
    <mergeCell ref="B59:B62"/>
    <mergeCell ref="B72:B91"/>
    <mergeCell ref="D85:F85"/>
    <mergeCell ref="D87:F87"/>
    <mergeCell ref="B29:B36"/>
    <mergeCell ref="B37:B55"/>
    <mergeCell ref="D50:F50"/>
    <mergeCell ref="D51:F51"/>
    <mergeCell ref="D52:F52"/>
    <mergeCell ref="D53:F53"/>
    <mergeCell ref="D54:F54"/>
    <mergeCell ref="D38:F38"/>
    <mergeCell ref="D39:F39"/>
    <mergeCell ref="D40:F40"/>
    <mergeCell ref="D41:F41"/>
    <mergeCell ref="D42:F42"/>
    <mergeCell ref="D43:F43"/>
    <mergeCell ref="D44:F44"/>
    <mergeCell ref="D45:F45"/>
    <mergeCell ref="D46:F46"/>
    <mergeCell ref="D47:F47"/>
    <mergeCell ref="D48:F48"/>
    <mergeCell ref="D49:F49"/>
    <mergeCell ref="D55:F55"/>
    <mergeCell ref="D37:F37"/>
    <mergeCell ref="D35:F35"/>
    <mergeCell ref="D30:F30"/>
    <mergeCell ref="D31:F31"/>
    <mergeCell ref="B4:E4"/>
    <mergeCell ref="B5:K5"/>
    <mergeCell ref="D20:F21"/>
    <mergeCell ref="G20:G21"/>
    <mergeCell ref="B20:B21"/>
    <mergeCell ref="C20:C21"/>
    <mergeCell ref="K20:K21"/>
    <mergeCell ref="D7:E7"/>
    <mergeCell ref="B23:B28"/>
    <mergeCell ref="D26:F26"/>
    <mergeCell ref="D28:F28"/>
    <mergeCell ref="D25:F25"/>
    <mergeCell ref="D27:F27"/>
    <mergeCell ref="D92:F92"/>
    <mergeCell ref="D77:F77"/>
    <mergeCell ref="I20:J20"/>
    <mergeCell ref="H20:H21"/>
    <mergeCell ref="D79:F79"/>
    <mergeCell ref="D81:F81"/>
    <mergeCell ref="D75:F75"/>
    <mergeCell ref="D86:F86"/>
    <mergeCell ref="D91:F91"/>
    <mergeCell ref="D83:F83"/>
    <mergeCell ref="D84:F84"/>
    <mergeCell ref="D88:F88"/>
    <mergeCell ref="D89:F89"/>
    <mergeCell ref="D90:F90"/>
    <mergeCell ref="D78:F78"/>
    <mergeCell ref="D80:F80"/>
    <mergeCell ref="D82:F82"/>
    <mergeCell ref="D76:F76"/>
    <mergeCell ref="D74:F74"/>
    <mergeCell ref="D22:F22"/>
    <mergeCell ref="D36:F36"/>
    <mergeCell ref="D23:F23"/>
    <mergeCell ref="D29:F29"/>
    <mergeCell ref="D24:F24"/>
    <mergeCell ref="D32:F32"/>
    <mergeCell ref="D33:F33"/>
    <mergeCell ref="D34:F34"/>
    <mergeCell ref="D190:F190"/>
    <mergeCell ref="B188:B190"/>
    <mergeCell ref="D171:F171"/>
    <mergeCell ref="D173:F173"/>
    <mergeCell ref="D176:F176"/>
    <mergeCell ref="D177:F177"/>
    <mergeCell ref="D179:F179"/>
    <mergeCell ref="D180:F180"/>
    <mergeCell ref="B184:B187"/>
    <mergeCell ref="D183:F183"/>
    <mergeCell ref="B182:B183"/>
    <mergeCell ref="D94:F94"/>
    <mergeCell ref="D95:F95"/>
    <mergeCell ref="D96:F96"/>
    <mergeCell ref="D97:F97"/>
    <mergeCell ref="D98:F98"/>
    <mergeCell ref="D99:F99"/>
    <mergeCell ref="D101:F101"/>
    <mergeCell ref="D123:F123"/>
    <mergeCell ref="D187:F187"/>
    <mergeCell ref="D186:F186"/>
    <mergeCell ref="D102:F102"/>
    <mergeCell ref="D103:F103"/>
    <mergeCell ref="B120:B124"/>
    <mergeCell ref="B114:B119"/>
    <mergeCell ref="B109:B113"/>
    <mergeCell ref="B100:B108"/>
    <mergeCell ref="D163:F163"/>
    <mergeCell ref="D164:F164"/>
    <mergeCell ref="D139:F139"/>
    <mergeCell ref="D138:F138"/>
    <mergeCell ref="D112:F112"/>
    <mergeCell ref="D111:F111"/>
    <mergeCell ref="D110:F110"/>
    <mergeCell ref="D113:F113"/>
    <mergeCell ref="D104:F104"/>
    <mergeCell ref="D105:F105"/>
    <mergeCell ref="D106:F106"/>
    <mergeCell ref="D107:F107"/>
    <mergeCell ref="D108:F108"/>
    <mergeCell ref="D121:F121"/>
    <mergeCell ref="D120:F120"/>
    <mergeCell ref="D119:F119"/>
    <mergeCell ref="D118:F118"/>
    <mergeCell ref="D117:F117"/>
    <mergeCell ref="D189:F189"/>
    <mergeCell ref="B95:B99"/>
    <mergeCell ref="B92:B94"/>
    <mergeCell ref="D125:F125"/>
    <mergeCell ref="D136:F136"/>
    <mergeCell ref="D134:F134"/>
    <mergeCell ref="D132:F132"/>
    <mergeCell ref="D133:F133"/>
    <mergeCell ref="D130:F130"/>
    <mergeCell ref="D131:F131"/>
    <mergeCell ref="D128:F128"/>
    <mergeCell ref="D129:F129"/>
    <mergeCell ref="D126:F126"/>
    <mergeCell ref="D127:F127"/>
    <mergeCell ref="D135:F135"/>
    <mergeCell ref="B133:B136"/>
    <mergeCell ref="B128:B132"/>
    <mergeCell ref="B125:B127"/>
    <mergeCell ref="D109:F109"/>
    <mergeCell ref="D122:F122"/>
    <mergeCell ref="D93:F93"/>
    <mergeCell ref="D100:F100"/>
    <mergeCell ref="D124:F124"/>
    <mergeCell ref="D137:F137"/>
  </mergeCells>
  <phoneticPr fontId="3"/>
  <pageMargins left="0.7" right="0.7" top="0.75" bottom="0.75" header="0.3" footer="0.3"/>
  <pageSetup paperSize="9" scale="24" orientation="portrait"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200-000000000000}">
          <x14:formula1>
            <xm:f>master!#REF!</xm:f>
          </x14:formula1>
          <xm:sqref>H22:H190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C167"/>
  <sheetViews>
    <sheetView workbookViewId="0"/>
  </sheetViews>
  <sheetFormatPr defaultColWidth="8.88671875" defaultRowHeight="13.2"/>
  <cols>
    <col min="1" max="1" width="4.6640625" customWidth="1"/>
    <col min="2" max="2" width="40.109375" customWidth="1"/>
    <col min="3" max="3" width="44" bestFit="1" customWidth="1"/>
  </cols>
  <sheetData>
    <row r="1" spans="2:3">
      <c r="B1" t="s">
        <v>265</v>
      </c>
    </row>
    <row r="2" spans="2:3">
      <c r="B2" s="80" t="s">
        <v>266</v>
      </c>
      <c r="C2" s="80" t="s">
        <v>267</v>
      </c>
    </row>
    <row r="3" spans="2:3">
      <c r="B3" t="s">
        <v>268</v>
      </c>
      <c r="C3" t="s">
        <v>269</v>
      </c>
    </row>
    <row r="4" spans="2:3">
      <c r="B4" t="s">
        <v>270</v>
      </c>
      <c r="C4" t="s">
        <v>271</v>
      </c>
    </row>
    <row r="5" spans="2:3">
      <c r="C5" t="s">
        <v>272</v>
      </c>
    </row>
    <row r="6" spans="2:3">
      <c r="C6" t="s">
        <v>273</v>
      </c>
    </row>
    <row r="7" spans="2:3">
      <c r="C7" t="s">
        <v>274</v>
      </c>
    </row>
    <row r="8" spans="2:3">
      <c r="C8" t="s">
        <v>275</v>
      </c>
    </row>
    <row r="9" spans="2:3">
      <c r="B9" t="s">
        <v>276</v>
      </c>
      <c r="C9" t="s">
        <v>276</v>
      </c>
    </row>
    <row r="10" spans="2:3">
      <c r="C10" t="s">
        <v>277</v>
      </c>
    </row>
    <row r="11" spans="2:3">
      <c r="C11" t="s">
        <v>278</v>
      </c>
    </row>
    <row r="12" spans="2:3">
      <c r="C12" t="s">
        <v>279</v>
      </c>
    </row>
    <row r="13" spans="2:3">
      <c r="C13" t="s">
        <v>280</v>
      </c>
    </row>
    <row r="14" spans="2:3">
      <c r="C14" t="s">
        <v>281</v>
      </c>
    </row>
    <row r="15" spans="2:3">
      <c r="C15" t="s">
        <v>282</v>
      </c>
    </row>
    <row r="16" spans="2:3">
      <c r="C16" t="s">
        <v>283</v>
      </c>
    </row>
    <row r="17" spans="2:3">
      <c r="B17" t="s">
        <v>284</v>
      </c>
      <c r="C17" t="s">
        <v>285</v>
      </c>
    </row>
    <row r="18" spans="2:3">
      <c r="C18" t="s">
        <v>286</v>
      </c>
    </row>
    <row r="19" spans="2:3">
      <c r="C19" t="s">
        <v>287</v>
      </c>
    </row>
    <row r="20" spans="2:3">
      <c r="C20" t="s">
        <v>288</v>
      </c>
    </row>
    <row r="21" spans="2:3">
      <c r="C21" t="s">
        <v>289</v>
      </c>
    </row>
    <row r="22" spans="2:3">
      <c r="C22" t="s">
        <v>290</v>
      </c>
    </row>
    <row r="23" spans="2:3">
      <c r="C23" t="s">
        <v>289</v>
      </c>
    </row>
    <row r="24" spans="2:3">
      <c r="C24" t="s">
        <v>291</v>
      </c>
    </row>
    <row r="25" spans="2:3">
      <c r="C25" t="s">
        <v>292</v>
      </c>
    </row>
    <row r="26" spans="2:3">
      <c r="C26" t="s">
        <v>293</v>
      </c>
    </row>
    <row r="27" spans="2:3">
      <c r="C27" t="s">
        <v>294</v>
      </c>
    </row>
    <row r="28" spans="2:3">
      <c r="C28" t="s">
        <v>295</v>
      </c>
    </row>
    <row r="29" spans="2:3">
      <c r="C29" t="s">
        <v>296</v>
      </c>
    </row>
    <row r="30" spans="2:3">
      <c r="C30" t="s">
        <v>297</v>
      </c>
    </row>
    <row r="31" spans="2:3">
      <c r="C31" t="s">
        <v>298</v>
      </c>
    </row>
    <row r="32" spans="2:3">
      <c r="C32" t="s">
        <v>299</v>
      </c>
    </row>
    <row r="33" spans="2:3">
      <c r="C33" t="s">
        <v>300</v>
      </c>
    </row>
    <row r="34" spans="2:3">
      <c r="C34" t="s">
        <v>301</v>
      </c>
    </row>
    <row r="35" spans="2:3">
      <c r="C35" t="s">
        <v>302</v>
      </c>
    </row>
    <row r="36" spans="2:3">
      <c r="B36" s="81"/>
      <c r="C36" s="81"/>
    </row>
    <row r="37" spans="2:3">
      <c r="B37" t="s">
        <v>303</v>
      </c>
      <c r="C37" t="s">
        <v>304</v>
      </c>
    </row>
    <row r="38" spans="2:3">
      <c r="C38" t="s">
        <v>305</v>
      </c>
    </row>
    <row r="39" spans="2:3">
      <c r="C39" t="s">
        <v>306</v>
      </c>
    </row>
    <row r="40" spans="2:3">
      <c r="B40" t="s">
        <v>307</v>
      </c>
      <c r="C40" t="s">
        <v>308</v>
      </c>
    </row>
    <row r="41" spans="2:3">
      <c r="C41" t="s">
        <v>309</v>
      </c>
    </row>
    <row r="42" spans="2:3">
      <c r="C42" t="s">
        <v>310</v>
      </c>
    </row>
    <row r="43" spans="2:3">
      <c r="C43" t="s">
        <v>311</v>
      </c>
    </row>
    <row r="44" spans="2:3">
      <c r="B44" t="s">
        <v>312</v>
      </c>
      <c r="C44" t="s">
        <v>313</v>
      </c>
    </row>
    <row r="45" spans="2:3">
      <c r="C45" t="s">
        <v>314</v>
      </c>
    </row>
    <row r="46" spans="2:3">
      <c r="C46" t="s">
        <v>315</v>
      </c>
    </row>
    <row r="47" spans="2:3">
      <c r="C47" t="s">
        <v>316</v>
      </c>
    </row>
    <row r="48" spans="2:3">
      <c r="C48" t="s">
        <v>317</v>
      </c>
    </row>
    <row r="49" spans="2:3">
      <c r="C49" t="s">
        <v>318</v>
      </c>
    </row>
    <row r="50" spans="2:3">
      <c r="C50" t="s">
        <v>319</v>
      </c>
    </row>
    <row r="51" spans="2:3">
      <c r="C51" t="s">
        <v>320</v>
      </c>
    </row>
    <row r="52" spans="2:3">
      <c r="C52" t="s">
        <v>321</v>
      </c>
    </row>
    <row r="53" spans="2:3">
      <c r="B53" t="s">
        <v>322</v>
      </c>
      <c r="C53" t="s">
        <v>323</v>
      </c>
    </row>
    <row r="54" spans="2:3">
      <c r="C54" t="s">
        <v>324</v>
      </c>
    </row>
    <row r="55" spans="2:3">
      <c r="C55" t="s">
        <v>325</v>
      </c>
    </row>
    <row r="56" spans="2:3">
      <c r="C56" t="s">
        <v>326</v>
      </c>
    </row>
    <row r="57" spans="2:3">
      <c r="C57" t="s">
        <v>327</v>
      </c>
    </row>
    <row r="58" spans="2:3">
      <c r="C58" t="s">
        <v>328</v>
      </c>
    </row>
    <row r="59" spans="2:3">
      <c r="C59" t="s">
        <v>329</v>
      </c>
    </row>
    <row r="60" spans="2:3">
      <c r="C60" t="s">
        <v>330</v>
      </c>
    </row>
    <row r="61" spans="2:3">
      <c r="C61" t="s">
        <v>331</v>
      </c>
    </row>
    <row r="62" spans="2:3">
      <c r="C62" t="s">
        <v>332</v>
      </c>
    </row>
    <row r="63" spans="2:3">
      <c r="C63" t="s">
        <v>333</v>
      </c>
    </row>
    <row r="64" spans="2:3">
      <c r="C64" t="s">
        <v>334</v>
      </c>
    </row>
    <row r="65" spans="2:3">
      <c r="C65" t="s">
        <v>335</v>
      </c>
    </row>
    <row r="66" spans="2:3">
      <c r="C66" t="s">
        <v>336</v>
      </c>
    </row>
    <row r="67" spans="2:3">
      <c r="B67" t="s">
        <v>337</v>
      </c>
      <c r="C67" t="s">
        <v>338</v>
      </c>
    </row>
    <row r="68" spans="2:3">
      <c r="B68" s="81"/>
      <c r="C68" s="81"/>
    </row>
    <row r="69" spans="2:3">
      <c r="B69" t="s">
        <v>339</v>
      </c>
      <c r="C69" t="s">
        <v>340</v>
      </c>
    </row>
    <row r="70" spans="2:3">
      <c r="C70" t="s">
        <v>341</v>
      </c>
    </row>
    <row r="71" spans="2:3">
      <c r="C71" t="s">
        <v>342</v>
      </c>
    </row>
    <row r="72" spans="2:3">
      <c r="B72" t="s">
        <v>343</v>
      </c>
      <c r="C72" t="s">
        <v>340</v>
      </c>
    </row>
    <row r="73" spans="2:3">
      <c r="C73" t="s">
        <v>344</v>
      </c>
    </row>
    <row r="74" spans="2:3">
      <c r="C74" t="s">
        <v>345</v>
      </c>
    </row>
    <row r="75" spans="2:3">
      <c r="C75" t="s">
        <v>346</v>
      </c>
    </row>
    <row r="76" spans="2:3">
      <c r="C76" t="s">
        <v>347</v>
      </c>
    </row>
    <row r="77" spans="2:3">
      <c r="B77" t="s">
        <v>348</v>
      </c>
      <c r="C77" t="s">
        <v>340</v>
      </c>
    </row>
    <row r="78" spans="2:3">
      <c r="C78" t="s">
        <v>349</v>
      </c>
    </row>
    <row r="79" spans="2:3">
      <c r="C79" t="s">
        <v>350</v>
      </c>
    </row>
    <row r="80" spans="2:3">
      <c r="C80" t="s">
        <v>351</v>
      </c>
    </row>
    <row r="81" spans="2:3">
      <c r="C81" t="s">
        <v>352</v>
      </c>
    </row>
    <row r="82" spans="2:3">
      <c r="C82" t="s">
        <v>353</v>
      </c>
    </row>
    <row r="83" spans="2:3">
      <c r="C83" t="s">
        <v>354</v>
      </c>
    </row>
    <row r="84" spans="2:3">
      <c r="C84" t="s">
        <v>355</v>
      </c>
    </row>
    <row r="85" spans="2:3">
      <c r="C85" t="s">
        <v>356</v>
      </c>
    </row>
    <row r="86" spans="2:3">
      <c r="B86" t="s">
        <v>357</v>
      </c>
      <c r="C86" t="s">
        <v>340</v>
      </c>
    </row>
    <row r="87" spans="2:3">
      <c r="C87" t="s">
        <v>358</v>
      </c>
    </row>
    <row r="88" spans="2:3">
      <c r="C88" t="s">
        <v>359</v>
      </c>
    </row>
    <row r="89" spans="2:3">
      <c r="C89" t="s">
        <v>360</v>
      </c>
    </row>
    <row r="90" spans="2:3">
      <c r="C90" t="s">
        <v>361</v>
      </c>
    </row>
    <row r="91" spans="2:3">
      <c r="B91" t="s">
        <v>362</v>
      </c>
      <c r="C91" t="s">
        <v>340</v>
      </c>
    </row>
    <row r="92" spans="2:3">
      <c r="C92" t="s">
        <v>363</v>
      </c>
    </row>
    <row r="93" spans="2:3">
      <c r="C93" t="s">
        <v>364</v>
      </c>
    </row>
    <row r="94" spans="2:3">
      <c r="C94" t="s">
        <v>365</v>
      </c>
    </row>
    <row r="95" spans="2:3">
      <c r="C95" t="s">
        <v>366</v>
      </c>
    </row>
    <row r="96" spans="2:3">
      <c r="C96" t="s">
        <v>367</v>
      </c>
    </row>
    <row r="97" spans="2:3">
      <c r="B97" t="s">
        <v>368</v>
      </c>
      <c r="C97" t="s">
        <v>369</v>
      </c>
    </row>
    <row r="98" spans="2:3">
      <c r="C98" t="s">
        <v>370</v>
      </c>
    </row>
    <row r="99" spans="2:3">
      <c r="C99" t="s">
        <v>371</v>
      </c>
    </row>
    <row r="100" spans="2:3">
      <c r="C100" t="s">
        <v>372</v>
      </c>
    </row>
    <row r="101" spans="2:3">
      <c r="C101" t="s">
        <v>373</v>
      </c>
    </row>
    <row r="102" spans="2:3">
      <c r="B102" s="81"/>
      <c r="C102" s="81"/>
    </row>
    <row r="103" spans="2:3">
      <c r="B103" t="s">
        <v>374</v>
      </c>
      <c r="C103" t="s">
        <v>340</v>
      </c>
    </row>
    <row r="104" spans="2:3">
      <c r="C104" s="82" t="s">
        <v>375</v>
      </c>
    </row>
    <row r="105" spans="2:3">
      <c r="C105" s="82" t="s">
        <v>376</v>
      </c>
    </row>
    <row r="106" spans="2:3">
      <c r="B106" t="s">
        <v>371</v>
      </c>
      <c r="C106" s="83" t="s">
        <v>377</v>
      </c>
    </row>
    <row r="107" spans="2:3">
      <c r="C107" s="79" t="s">
        <v>349</v>
      </c>
    </row>
    <row r="108" spans="2:3">
      <c r="C108" s="79" t="s">
        <v>351</v>
      </c>
    </row>
    <row r="109" spans="2:3">
      <c r="C109" s="79" t="s">
        <v>378</v>
      </c>
    </row>
    <row r="110" spans="2:3">
      <c r="C110" s="79" t="s">
        <v>353</v>
      </c>
    </row>
    <row r="111" spans="2:3">
      <c r="B111" t="s">
        <v>362</v>
      </c>
      <c r="C111" s="79" t="s">
        <v>377</v>
      </c>
    </row>
    <row r="112" spans="2:3">
      <c r="C112" s="79" t="s">
        <v>379</v>
      </c>
    </row>
    <row r="113" spans="2:3">
      <c r="C113" s="79" t="s">
        <v>380</v>
      </c>
    </row>
    <row r="114" spans="2:3">
      <c r="C114" s="79" t="s">
        <v>381</v>
      </c>
    </row>
    <row r="115" spans="2:3">
      <c r="B115" s="81"/>
      <c r="C115" s="81"/>
    </row>
    <row r="116" spans="2:3">
      <c r="B116" t="s">
        <v>382</v>
      </c>
      <c r="C116" s="79" t="s">
        <v>269</v>
      </c>
    </row>
    <row r="117" spans="2:3">
      <c r="C117" s="82" t="s">
        <v>383</v>
      </c>
    </row>
    <row r="118" spans="2:3">
      <c r="C118" s="82" t="s">
        <v>384</v>
      </c>
    </row>
    <row r="119" spans="2:3">
      <c r="B119" t="s">
        <v>385</v>
      </c>
      <c r="C119" s="82" t="s">
        <v>386</v>
      </c>
    </row>
    <row r="120" spans="2:3">
      <c r="C120" s="82" t="s">
        <v>387</v>
      </c>
    </row>
    <row r="121" spans="2:3">
      <c r="C121" s="83" t="s">
        <v>388</v>
      </c>
    </row>
    <row r="122" spans="2:3">
      <c r="C122" s="79" t="s">
        <v>389</v>
      </c>
    </row>
    <row r="123" spans="2:3">
      <c r="B123" t="s">
        <v>390</v>
      </c>
      <c r="C123" s="79" t="s">
        <v>391</v>
      </c>
    </row>
    <row r="124" spans="2:3">
      <c r="C124" s="79" t="s">
        <v>392</v>
      </c>
    </row>
    <row r="125" spans="2:3">
      <c r="C125" s="79" t="s">
        <v>393</v>
      </c>
    </row>
    <row r="126" spans="2:3">
      <c r="C126" s="79" t="s">
        <v>394</v>
      </c>
    </row>
    <row r="127" spans="2:3">
      <c r="C127" t="s">
        <v>395</v>
      </c>
    </row>
    <row r="128" spans="2:3">
      <c r="C128" s="79" t="s">
        <v>396</v>
      </c>
    </row>
    <row r="129" spans="2:3">
      <c r="C129" s="79" t="s">
        <v>397</v>
      </c>
    </row>
    <row r="130" spans="2:3">
      <c r="C130" s="79" t="s">
        <v>398</v>
      </c>
    </row>
    <row r="131" spans="2:3">
      <c r="C131" s="79" t="s">
        <v>399</v>
      </c>
    </row>
    <row r="132" spans="2:3">
      <c r="C132" s="79" t="s">
        <v>400</v>
      </c>
    </row>
    <row r="133" spans="2:3">
      <c r="C133" s="79" t="s">
        <v>401</v>
      </c>
    </row>
    <row r="134" spans="2:3">
      <c r="C134" s="79" t="s">
        <v>402</v>
      </c>
    </row>
    <row r="135" spans="2:3">
      <c r="C135" s="79" t="s">
        <v>403</v>
      </c>
    </row>
    <row r="136" spans="2:3">
      <c r="C136" s="79" t="s">
        <v>404</v>
      </c>
    </row>
    <row r="137" spans="2:3">
      <c r="C137" s="79" t="s">
        <v>405</v>
      </c>
    </row>
    <row r="138" spans="2:3">
      <c r="C138" s="79" t="s">
        <v>406</v>
      </c>
    </row>
    <row r="139" spans="2:3">
      <c r="C139" s="79" t="s">
        <v>407</v>
      </c>
    </row>
    <row r="140" spans="2:3">
      <c r="C140" s="79" t="s">
        <v>408</v>
      </c>
    </row>
    <row r="141" spans="2:3">
      <c r="B141" s="79" t="s">
        <v>409</v>
      </c>
      <c r="C141" s="79" t="s">
        <v>410</v>
      </c>
    </row>
    <row r="142" spans="2:3">
      <c r="C142" s="79" t="s">
        <v>411</v>
      </c>
    </row>
    <row r="143" spans="2:3">
      <c r="B143" s="81"/>
      <c r="C143" s="81"/>
    </row>
    <row r="144" spans="2:3">
      <c r="B144" t="s">
        <v>412</v>
      </c>
      <c r="C144" t="s">
        <v>304</v>
      </c>
    </row>
    <row r="145" spans="2:3">
      <c r="C145" t="s">
        <v>413</v>
      </c>
    </row>
    <row r="146" spans="2:3">
      <c r="C146" s="79" t="s">
        <v>414</v>
      </c>
    </row>
    <row r="147" spans="2:3">
      <c r="C147" s="79" t="s">
        <v>415</v>
      </c>
    </row>
    <row r="148" spans="2:3">
      <c r="B148" t="s">
        <v>322</v>
      </c>
      <c r="C148" s="79" t="s">
        <v>416</v>
      </c>
    </row>
    <row r="149" spans="2:3">
      <c r="C149" s="79" t="s">
        <v>417</v>
      </c>
    </row>
    <row r="150" spans="2:3">
      <c r="C150" s="79" t="s">
        <v>418</v>
      </c>
    </row>
    <row r="151" spans="2:3">
      <c r="C151" s="79" t="s">
        <v>419</v>
      </c>
    </row>
    <row r="152" spans="2:3">
      <c r="C152" s="79" t="s">
        <v>420</v>
      </c>
    </row>
    <row r="153" spans="2:3">
      <c r="C153" s="79" t="s">
        <v>421</v>
      </c>
    </row>
    <row r="154" spans="2:3">
      <c r="C154" s="79" t="s">
        <v>422</v>
      </c>
    </row>
    <row r="155" spans="2:3">
      <c r="C155" s="79" t="s">
        <v>423</v>
      </c>
    </row>
    <row r="156" spans="2:3">
      <c r="B156" t="s">
        <v>424</v>
      </c>
      <c r="C156" s="79" t="s">
        <v>425</v>
      </c>
    </row>
    <row r="157" spans="2:3">
      <c r="C157" s="79" t="s">
        <v>426</v>
      </c>
    </row>
    <row r="158" spans="2:3">
      <c r="B158" s="81"/>
      <c r="C158" s="81"/>
    </row>
    <row r="159" spans="2:3">
      <c r="B159" t="s">
        <v>427</v>
      </c>
      <c r="C159" t="s">
        <v>304</v>
      </c>
    </row>
    <row r="160" spans="2:3">
      <c r="B160" s="79"/>
      <c r="C160" s="79" t="s">
        <v>428</v>
      </c>
    </row>
    <row r="161" spans="2:3">
      <c r="C161" s="79" t="s">
        <v>429</v>
      </c>
    </row>
    <row r="162" spans="2:3">
      <c r="C162" s="79" t="s">
        <v>430</v>
      </c>
    </row>
    <row r="163" spans="2:3">
      <c r="B163" s="81"/>
      <c r="C163" s="81"/>
    </row>
    <row r="164" spans="2:3">
      <c r="B164" t="s">
        <v>431</v>
      </c>
      <c r="C164" s="79" t="s">
        <v>432</v>
      </c>
    </row>
    <row r="165" spans="2:3">
      <c r="C165" s="79" t="s">
        <v>433</v>
      </c>
    </row>
    <row r="166" spans="2:3">
      <c r="C166" s="79" t="s">
        <v>434</v>
      </c>
    </row>
    <row r="167" spans="2:3">
      <c r="B167" s="81"/>
      <c r="C167" s="81"/>
    </row>
  </sheetData>
  <phoneticPr fontId="3"/>
  <pageMargins left="0.7" right="0.7" top="0.75" bottom="0.75" header="0.3" footer="0.3"/>
  <pageSetup paperSize="9" orientation="portrait" horizontalDpi="360" verticalDpi="36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ED7B78CF469602478DA8442A13533468" ma:contentTypeVersion="3" ma:contentTypeDescription="新しいドキュメントを作成します。" ma:contentTypeScope="" ma:versionID="1f196b256ef7ccf7d692b1aaacfe112d">
  <xsd:schema xmlns:xsd="http://www.w3.org/2001/XMLSchema" xmlns:xs="http://www.w3.org/2001/XMLSchema" xmlns:p="http://schemas.microsoft.com/office/2006/metadata/properties" xmlns:ns2="21c280f7-d7f8-452e-9595-cb4b3b723e8b" targetNamespace="http://schemas.microsoft.com/office/2006/metadata/properties" ma:root="true" ma:fieldsID="1d544a961dae494f46317996cb02cfd0" ns2:_="">
    <xsd:import namespace="21c280f7-d7f8-452e-9595-cb4b3b723e8b"/>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1c280f7-d7f8-452e-9595-cb4b3b723e8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CA1018E-6D46-41F3-924B-556AE9A2C060}">
  <ds:schemaRefs>
    <ds:schemaRef ds:uri="http://schemas.microsoft.com/sharepoint/v3/contenttype/forms"/>
  </ds:schemaRefs>
</ds:datastoreItem>
</file>

<file path=customXml/itemProps2.xml><?xml version="1.0" encoding="utf-8"?>
<ds:datastoreItem xmlns:ds="http://schemas.openxmlformats.org/officeDocument/2006/customXml" ds:itemID="{B2FCC049-EE90-4F0E-BE6B-6D56A66535FF}">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174E5A6C-1B45-461E-B803-E687F27A104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1c280f7-d7f8-452e-9595-cb4b3b723e8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3</vt:i4>
      </vt:variant>
    </vt:vector>
  </HeadingPairs>
  <TitlesOfParts>
    <vt:vector size="7" baseType="lpstr">
      <vt:lpstr>スケジュール（3日）</vt:lpstr>
      <vt:lpstr>特記イベント</vt:lpstr>
      <vt:lpstr>講義</vt:lpstr>
      <vt:lpstr>master</vt:lpstr>
      <vt:lpstr>'スケジュール（3日）'!Print_Area</vt:lpstr>
      <vt:lpstr>講義!Print_Area</vt:lpstr>
      <vt:lpstr>特記イベント!Print_Area</vt:lpstr>
    </vt:vector>
  </TitlesOfParts>
  <Manager/>
  <Company>株式会社NTTDATAユニバーシティ</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松下 正嗣</dc:creator>
  <cp:keywords/>
  <dc:description/>
  <cp:lastModifiedBy>直樹 石田</cp:lastModifiedBy>
  <cp:revision/>
  <dcterms:created xsi:type="dcterms:W3CDTF">2016-04-08T02:03:33Z</dcterms:created>
  <dcterms:modified xsi:type="dcterms:W3CDTF">2026-08-26T12:14:20Z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0x010100ED7B78CF469602478DA8442A13533468</vt:lpwstr>
  </property>
</Properties>
</file>
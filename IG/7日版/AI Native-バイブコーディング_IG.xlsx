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5B6CD91C-A346-4657-8A05-5214E23A9A56}" xr6:coauthVersionLast="47" xr6:coauthVersionMax="47" xr10:uidLastSave="{00000000-0000-0000-0000-000000000000}"/>
  <bookViews>
    <workbookView xWindow="-108" yWindow="-108" windowWidth="23256" windowHeight="12456" tabRatio="860"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88" i="31" l="1"/>
  <c r="G38" i="33"/>
  <c r="G12" i="33"/>
  <c r="G11" i="33"/>
  <c r="E36" i="33"/>
  <c r="E35" i="33"/>
  <c r="E34" i="33"/>
  <c r="E28" i="33"/>
  <c r="E27" i="33"/>
  <c r="E26" i="33"/>
  <c r="E11" i="33"/>
  <c r="C118" i="31"/>
  <c r="C135" i="31"/>
  <c r="C134" i="31"/>
  <c r="C124" i="31"/>
  <c r="C125" i="31"/>
  <c r="C126" i="31"/>
  <c r="B127" i="31"/>
  <c r="C127" i="31"/>
  <c r="C128" i="31"/>
  <c r="C129" i="31"/>
  <c r="C130" i="31"/>
  <c r="C131" i="31"/>
  <c r="B132" i="31"/>
  <c r="C132" i="31"/>
  <c r="C133" i="31"/>
  <c r="B124" i="31"/>
  <c r="B99" i="31"/>
  <c r="B108" i="31"/>
  <c r="B113" i="31"/>
  <c r="B119" i="31"/>
  <c r="C122" i="31"/>
  <c r="C123" i="31"/>
  <c r="C113" i="31"/>
  <c r="C114" i="31"/>
  <c r="C115" i="31"/>
  <c r="C116" i="31"/>
  <c r="C117" i="31"/>
  <c r="C119" i="31"/>
  <c r="C120" i="31"/>
  <c r="C121" i="31"/>
  <c r="C104" i="31"/>
  <c r="C105" i="31"/>
  <c r="C106" i="31"/>
  <c r="C107" i="31"/>
  <c r="C108" i="31"/>
  <c r="C109" i="31"/>
  <c r="C110" i="31"/>
  <c r="C111" i="31"/>
  <c r="C112" i="31"/>
  <c r="B94" i="31"/>
  <c r="C100" i="31"/>
  <c r="C101" i="31"/>
  <c r="C102" i="31"/>
  <c r="C103" i="31"/>
  <c r="C92" i="31"/>
  <c r="C93" i="31"/>
  <c r="C94" i="31"/>
  <c r="C95" i="31"/>
  <c r="C96" i="31"/>
  <c r="C97" i="31"/>
  <c r="C98" i="31"/>
  <c r="C99" i="31"/>
  <c r="C189" i="31"/>
  <c r="C32" i="33"/>
  <c r="C30" i="33"/>
  <c r="B62" i="31"/>
  <c r="C28" i="33"/>
  <c r="C26" i="33"/>
  <c r="C15" i="33"/>
  <c r="C13" i="33"/>
  <c r="C12" i="33"/>
  <c r="B22" i="31"/>
  <c r="C11" i="33"/>
  <c r="B187" i="31"/>
  <c r="C187" i="31"/>
  <c r="C186" i="31"/>
  <c r="C185" i="31"/>
  <c r="C184" i="31"/>
  <c r="C183" i="31"/>
  <c r="B183" i="31"/>
  <c r="C182" i="31"/>
  <c r="C172" i="31"/>
  <c r="C170" i="31"/>
  <c r="B181" i="31"/>
  <c r="B169" i="31"/>
  <c r="C181" i="31"/>
  <c r="C180" i="31"/>
  <c r="C178" i="31"/>
  <c r="C177" i="31"/>
  <c r="C175" i="31"/>
  <c r="C174" i="31"/>
  <c r="C169" i="31"/>
  <c r="C168" i="31"/>
  <c r="C167" i="31"/>
  <c r="C166" i="31"/>
  <c r="C165" i="31"/>
  <c r="B165" i="31"/>
  <c r="C164" i="31"/>
  <c r="B164" i="31"/>
  <c r="B162" i="31"/>
  <c r="B144" i="31"/>
  <c r="B140" i="31"/>
  <c r="B137"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C136" i="31"/>
  <c r="B136" i="31"/>
  <c r="C89" i="31"/>
  <c r="C66" i="31"/>
  <c r="B91" i="31"/>
  <c r="B71" i="31"/>
  <c r="B58" i="31"/>
  <c r="C91" i="31"/>
  <c r="C88" i="31"/>
  <c r="C87" i="31"/>
  <c r="C86" i="31"/>
  <c r="C84" i="31"/>
  <c r="C83" i="31"/>
  <c r="C82" i="31"/>
  <c r="C81" i="31"/>
  <c r="C79" i="31"/>
  <c r="C77" i="31"/>
  <c r="C75" i="31"/>
  <c r="C73" i="31"/>
  <c r="C72" i="31"/>
  <c r="C71" i="31"/>
  <c r="C70" i="31"/>
  <c r="C69" i="31"/>
  <c r="C68" i="31"/>
  <c r="C67" i="31"/>
  <c r="C65" i="31"/>
  <c r="C64" i="31"/>
  <c r="C63" i="31"/>
  <c r="C62" i="31"/>
  <c r="C61" i="31"/>
  <c r="C60" i="31"/>
  <c r="C59" i="31"/>
  <c r="C58" i="31"/>
  <c r="C57" i="31"/>
  <c r="C56" i="31"/>
  <c r="C55" i="31"/>
  <c r="B55" i="31"/>
  <c r="C24" i="31"/>
  <c r="B28" i="31"/>
  <c r="B36"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1" i="31"/>
  <c r="B21" i="31"/>
  <c r="B2" i="33"/>
  <c r="C23" i="31"/>
  <c r="C25" i="31"/>
  <c r="C2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<sst xmlns="http://schemas.openxmlformats.org/spreadsheetml/2006/main" count="832" uniqueCount="447">
  <si>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</si>
  <si>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</si>
  <si>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</si>
  <si>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</si>
  <si>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</si>
  <si>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</si>
  <si>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</si>
  <si>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</si>
  <si>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</si>
  <si>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</si>
  <si>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</si>
  <si>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</si>
  <si>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</si>
  <si>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</si>
  <si>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</si>
  <si>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</si>
  <si>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</si>
  <si>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</si>
  <si>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</si>
  <si>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</si>
  <si>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</si>
  <si>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</si>
  <si>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</si>
  <si>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</si>
  <si>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</si>
  <si>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</si>
  <si>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</si>
  <si>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</si>
  <si>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</si>
  <si>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</si>
  <si>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</si>
  <si>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</si>
  <si>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</si>
  <si>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</si>
  <si>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</si>
  <si>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</si>
  <si>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</si>
  <si>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</si>
  <si>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</si>
  <si>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</si>
  <si>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</si>
  <si>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</si>
  <si>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</si>
  <si>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</si>
  <si>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</si>
  <si>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</si>
  <si>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</si>
  <si>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</si>
  <si>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</si>
  <si>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</si>
  <si>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</si>
  <si>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</si>
  <si>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</si>
  <si>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</si>
  <si>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</si>
  <si>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</si>
  <si>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</si>
  <si>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</si>
  <si>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</si>
  <si>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</si>
  <si>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</si>
  <si>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</si>
  <si>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</si>
  <si>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</si>
  <si>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</si>
  <si>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</si>
  <si>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</si>
  <si>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</si>
  <si>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</si>
  <si>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</si>
  <si>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</si>
  <si>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</si>
  <si>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</si>
  <si>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</si>
  <si>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</si>
  <si>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</si>
  <si>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</si>
  <si>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</si>
  <si>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</si>
  <si>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</si>
  <si>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</si>
  <si>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</si>
  <si>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</si>
  <si>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</si>
  <si>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</si>
  <si>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</si>
  <si>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</si>
  <si>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</si>
  <si>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</si>
  <si>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</si>
  <si>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</si>
  <si>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</si>
  <si>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</si>
  <si>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</si>
  <si>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</si>
  <si>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</si>
  <si>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</si>
  <si>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</si>
  <si>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</si>
  <si>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</si>
  <si>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</si>
  <si>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</si>
  <si>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</si>
  <si>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</si>
  <si>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</si>
  <si>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</si>
  <si>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</si>
  <si>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</si>
  <si>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</si>
  <si>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</si>
  <si>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</si>
  <si>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</si>
  <si>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</si>
  <si>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</si>
  <si>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</si>
  <si>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</si>
  <si>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</si>
  <si>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</si>
  <si>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</si>
  <si>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</si>
  <si>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</si>
  <si>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</si>
  <si>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</si>
  <si>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</si>
  <si>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</si>
  <si>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</si>
  <si>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</si>
  <si>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</si>
  <si>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</si>
  <si>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</si>
  <si>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</si>
  <si>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</si>
  <si>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</si>
  <si>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</si>
  <si>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</si>
  <si>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</si>
  <si>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</si>
  <si>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</si>
  <si>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</si>
  <si>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</si>
  <si>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</si>
  <si>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</si>
  <si>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</si>
  <si>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</si>
  <si>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</si>
  <si>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</si>
  <si>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</si>
  <si>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</si>
  <si>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</si>
  <si>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</si>
  <si>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</si>
  <si>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</si>
  <si>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</si>
  <si>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</si>
  <si>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</si>
  <si>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</si>
  <si>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</si>
  <si>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</si>
  <si>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</si>
  <si>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</si>
  <si>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</si>
  <si>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</si>
  <si>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</si>
  <si>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</si>
  <si>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</si>
  <si>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</si>
  <si>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</si>
  <si>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</si>
  <si>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</si>
  <si>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</si>
  <si>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</si>
  <si>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</si>
  <si>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</si>
  <si>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</si>
  <si>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</si>
  <si>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</si>
  <si>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</si>
  <si>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</si>
  <si>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</si>
  <si>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</si>
  <si>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</si>
  <si>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</si>
  <si>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</si>
  <si>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</si>
  <si>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</si>
  <si>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</si>
  <si>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</si>
  <si>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</si>
  <si>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</si>
  <si>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</si>
  <si>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</si>
  <si>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</si>
  <si>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</si>
  <si>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</si>
  <si>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</si>
  <si>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</si>
  <si>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</si>
  <si>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</si>
  <si>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</si>
  <si>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</si>
  <si>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</si>
  <si>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</si>
  <si>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</si>
  <si>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</si>
  <si>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</si>
  <si>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</si>
  <si>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</si>
  <si>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</si>
  <si>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</si>
  <si>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</si>
  <si>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</si>
  <si>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</si>
  <si>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</si>
  <si>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</si>
  <si>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</si>
  <si>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</si>
  <si>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</si>
  <si>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</si>
  <si>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</si>
  <si>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</si>
  <si>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</si>
  <si>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</si>
  <si>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</si>
  <si>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</si>
  <si>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</si>
  <si>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</si>
  <si>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</si>
  <si>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</si>
  <si>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</si>
  <si>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</si>
  <si>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</si>
  <si>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</si>
  <si>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</si>
  <si>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</si>
  <si>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</si>
  <si>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</si>
  <si>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</si>
  <si>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</si>
  <si>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</si>
  <si>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</si>
  <si>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</si>
  <si>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</si>
  <si>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</si>
  <si>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</si>
  <si>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</si>
  <si>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</si>
  <si>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</si>
  <si>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</si>
  <si>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</si>
  <si>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</si>
  <si>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</si>
  <si>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</si>
  <si>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</si>
  <si>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</si>
  <si>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</si>
  <si>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</si>
  <si>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</si>
  <si>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</si>
  <si>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</si>
  <si>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</si>
  <si>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</si>
  <si>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</si>
  <si>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</si>
  <si>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</si>
  <si>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</si>
  <si>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</si>
  <si>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</si>
  <si>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</si>
  <si>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</si>
  <si>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</si>
  <si>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</si>
  <si>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</si>
  <si>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</si>
  <si>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</si>
  <si>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</si>
  <si>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</si>
  <si>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</si>
  <si>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</si>
  <si>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</si>
  <si>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</si>
  <si>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</si>
  <si>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</si>
  <si>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AI-09</t>
  </si>
  <si>
    <t>【AI Native研修-バイブコーディング】演習振り返り.pptx</t>
    <phoneticPr fontId="3"/>
  </si>
  <si>
    <t>サンプルAP</t>
  </si>
  <si>
    <t>AI-10</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</si>
  <si>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</si>
  <si>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</si>
  <si>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</si>
  <si>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</si>
  <si>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</si>
  <si>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</si>
  <si>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</si>
  <si>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</si>
  <si>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</si>
  <si>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</si>
  <si>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</si>
  <si>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</si>
  <si>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</si>
  <si>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</si>
  <si>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</si>
  <si>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</si>
  <si>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</si>
  <si>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</si>
  <si>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</si>
  <si>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</si>
  <si>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</si>
  <si>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</si>
  <si>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</si>
  <si>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</si>
  <si>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</si>
  <si>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</si>
  <si>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</si>
  <si>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</si>
  <si>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</si>
  <si>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</si>
  <si>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</si>
  <si>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</si>
  <si>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</si>
  <si>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</si>
  <si>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</si>
  <si>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</si>
  <si>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</si>
  <si>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</si>
  <si>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</si>
  <si>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</si>
  <si>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</si>
  <si>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</si>
  <si>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</si>
  <si>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</si>
  <si>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</si>
  <si>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</si>
  <si>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</si>
  <si>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</si>
  <si>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</si>
  <si>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</si>
  <si>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</si>
  <si>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</si>
  <si>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</si>
  <si>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</si>
  <si>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</si>
  <si>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</si>
  <si>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</si>
  <si>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</si>
  <si>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</si>
  <si>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</si>
  <si>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</si>
  <si>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</si>
  <si>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</si>
  <si>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</si>
  <si>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</si>
  <si>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</si>
  <si>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</si>
  <si>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</si>
  <si>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</si>
  <si>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</si>
  <si>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</si>
  <si>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</si>
  <si>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</si>
  <si>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</si>
  <si>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</si>
  <si>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</si>
  <si>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</si>
  <si>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</si>
  <si>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</si>
  <si>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</si>
  <si>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</si>
  <si>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</si>
  <si>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</si>
  <si>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</si>
  <si>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</si>
  <si>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演習の前に</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</si>
  <si>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</si>
  <si>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</si>
  <si>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</si>
  <si>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</si>
  <si>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</si>
  <si>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</si>
  <si>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</si>
  <si>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</si>
  <si>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</si>
  <si>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</si>
  <si>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</si>
  <si>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</si>
  <si>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</si>
  <si>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</si>
  <si>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</si>
  <si>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</si>
  <si>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</si>
  <si>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</si>
  <si>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</si>
  <si>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</si>
  <si>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</si>
  <si>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</si>
  <si>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</si>
  <si>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</si>
  <si>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</si>
  <si>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</si>
  <si>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</si>
  <si>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</si>
  <si>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</si>
  <si>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</si>
  <si>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</si>
  <si>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</si>
  <si>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</si>
  <si>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</si>
  <si>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</si>
  <si>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</si>
  <si>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</si>
  <si>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</si>
  <si>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</si>
  <si>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</si>
  <si>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</si>
  <si>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</si>
  <si>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</si>
  <si>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</si>
  <si>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</si>
  <si>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</si>
  <si>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</si>
  <si>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</si>
  <si>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</si>
  <si>
    <t>※本研修ではブランチの利用は任意です。</t>
    <rPh sb="11" eb="13">
      <t>リヨウ</t>
    </rPh>
    <rPh sb="14" eb="16">
      <t>ニンイ</t>
    </rPh>
    <phoneticPr fontId="3"/>
  </si>
  <si>
    <t>※本研修ではブランチの利用は任意です。</t>
    <phoneticPr fontId="3"/>
  </si>
  <si>
    <t>※本研修ではリモートリポジトリは利用しません。</t>
    <phoneticPr fontId="3"/>
  </si>
  <si>
    <t>※基本的にGitコマンドを直接使うことはありません。</t>
    <rPh sb="1" eb="4">
      <t>キホンテキ</t>
    </rPh>
    <rPh sb="13" eb="15">
      <t>チョクセツ</t>
    </rPh>
    <rPh sb="15" eb="16">
      <t>ツカ</t>
    </rPh>
    <phoneticPr fontId="3"/>
  </si>
  <si>
    <t>〇</t>
    <phoneticPr fontId="3"/>
  </si>
  <si>
    <t>Git</t>
    <phoneticPr fontId="3"/>
  </si>
  <si>
    <t>※本研修では追加演習の実施は不要です。</t>
    <rPh sb="6" eb="10">
      <t>ツイカエンシュウ</t>
    </rPh>
    <rPh sb="11" eb="13">
      <t>ジッシ</t>
    </rPh>
    <rPh sb="14" eb="16">
      <t>フヨウ</t>
    </rPh>
    <phoneticPr fontId="3"/>
  </si>
  <si>
    <t>※本研修で講師配布テストの実施は不要です。</t>
    <rPh sb="5" eb="7">
      <t>コウシ</t>
    </rPh>
    <rPh sb="7" eb="9">
      <t>ハイフ</t>
    </rPh>
    <rPh sb="13" eb="15">
      <t>ジッシ</t>
    </rPh>
    <rPh sb="16" eb="18">
      <t>フヨウ</t>
    </rPh>
    <phoneticPr fontId="3"/>
  </si>
  <si>
    <t xml:space="preserve">・AI-09
・AI-10
</t>
    <phoneticPr fontId="3"/>
  </si>
  <si>
    <t xml:space="preserve">・AI-09
・AI-10
</t>
    <phoneticPr fontId="3"/>
  </si>
  <si>
    <t>コミットの打ち消し</t>
    <rPh sb="5" eb="6">
      <t>ウ</t>
    </rPh>
    <rPh sb="7" eb="8">
      <t>ケ</t>
    </rPh>
    <phoneticPr fontId="3"/>
  </si>
  <si>
    <t>分析結果の共有</t>
    <rPh sb="0" eb="2">
      <t>ブンセキ</t>
    </rPh>
    <rPh sb="2" eb="4">
      <t>ケッカ</t>
    </rPh>
    <rPh sb="5" eb="7">
      <t>キョウユウ</t>
    </rPh>
    <phoneticPr fontId="3"/>
  </si>
  <si>
    <t>アプリケーションの比較・分析</t>
    <rPh sb="9" eb="11">
      <t>ヒカク</t>
    </rPh>
    <rPh sb="12" eb="14">
      <t>ブンセキ</t>
    </rPh>
    <phoneticPr fontId="3"/>
  </si>
  <si>
    <t>演習の振り返り</t>
    <rPh sb="0" eb="2">
      <t>エンシュウ</t>
    </rPh>
    <rPh sb="3" eb="4">
      <t>フ</t>
    </rPh>
    <rPh sb="5" eb="6">
      <t>カエ</t>
    </rPh>
    <phoneticPr fontId="3"/>
  </si>
  <si>
    <t>分析結果を共有することを説明する。
①自身のAPと配布のAPの違い
②自身のAPをどのように改善できるか
③気づいたこと・学んだこと</t>
    <rPh sb="0" eb="2">
      <t>ブンセキ</t>
    </rPh>
    <rPh sb="2" eb="4">
      <t>ケッカ</t>
    </rPh>
    <rPh sb="5" eb="7">
      <t>キョウユウ</t>
    </rPh>
    <rPh sb="12" eb="14">
      <t>セツメイ</t>
    </rPh>
    <rPh sb="25" eb="27">
      <t>ハイフ</t>
    </rPh>
    <phoneticPr fontId="3"/>
  </si>
  <si>
    <t>改善点の整理</t>
    <rPh sb="0" eb="3">
      <t>カイゼンテン</t>
    </rPh>
    <rPh sb="4" eb="6">
      <t>セイリ</t>
    </rPh>
    <phoneticPr fontId="3"/>
  </si>
  <si>
    <t>比較・分析した結果をもとに、自身のアプリケーションの改善点を整理することを説明する。
・実装方法
・可読性
・保守性など</t>
    <rPh sb="37" eb="39">
      <t>セツメイ</t>
    </rPh>
    <phoneticPr fontId="3"/>
  </si>
  <si>
    <r>
      <t xml:space="preserve">自身のAPと配布のAPを比較し、違いを分析することを説明する。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6" eb="8">
      <t>ハイフ</t>
    </rPh>
    <rPh sb="12" eb="14">
      <t>ヒカク</t>
    </rPh>
    <rPh sb="16" eb="17">
      <t>チガ</t>
    </rPh>
    <rPh sb="19" eb="21">
      <t>ブンセキ</t>
    </rPh>
    <rPh sb="26" eb="28">
      <t>セツメイ</t>
    </rPh>
    <rPh sb="86" eb="88">
      <t>ジッコウ</t>
    </rPh>
    <rPh sb="115" eb="116">
      <t>チガ</t>
    </rPh>
    <rPh sb="118" eb="120">
      <t>カクニン</t>
    </rPh>
    <rPh sb="238" eb="240">
      <t>ヒカク</t>
    </rPh>
    <rPh sb="259" eb="260">
      <t>ツカ</t>
    </rPh>
    <rPh sb="262" eb="263">
      <t>ホウ</t>
    </rPh>
    <phoneticPr fontId="3"/>
  </si>
  <si>
    <t>リポジトリの複製</t>
    <rPh sb="6" eb="8">
      <t>フクセイ</t>
    </rPh>
    <phoneticPr fontId="3"/>
  </si>
  <si>
    <t>変更内容のステージング</t>
  </si>
  <si>
    <t>ブランチの作成</t>
  </si>
  <si>
    <t>ブランチの切り替え</t>
  </si>
  <si>
    <t>ブランチのマージ</t>
  </si>
  <si>
    <t>演習の概要について</t>
    <rPh sb="3" eb="5">
      <t>ガイヨウ</t>
    </rPh>
    <phoneticPr fontId="3"/>
  </si>
  <si>
    <t>構成</t>
    <phoneticPr fontId="3"/>
  </si>
  <si>
    <t>利用するソフトウェア</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</si>
</sst>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5" fillId="6" borderId="8" xfId="0" applyFont="1" applyFill="1" applyBorder="1" applyAlignment="1">
      <alignment vertical="center" wrapText="1"/>
    </xf>
    <xf numFmtId="0" fontId="5" fillId="7" borderId="8" xfId="0" applyFont="1" applyFill="1" applyBorder="1" applyAlignment="1">
      <alignment vertical="center" wrapText="1"/>
    </xf>
    <xf numFmtId="0" fontId="5" fillId="7" borderId="9" xfId="0" applyFont="1" applyFill="1" applyBorder="1" applyAlignment="1">
      <alignment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0" xfId="0" applyFont="1" applyFill="1" applyBorder="1" applyAlignment="1">
      <alignment horizontal="center" vertical="top" wrapText="1"/>
    </xf>
    <xf numFmtId="0" fontId="5" fillId="5" borderId="9"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topLeftCell="A30" zoomScale="90" zoomScaleNormal="115" zoomScaleSheetLayoutView="90" workbookViewId="0">
      <selection activeCell="A57" sqref="A57"/>
    </sheetView>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5" style="1" customWidth="1"/>
    <col min="9" max="16384" width="9" style="6"/>
  </cols>
  <sheetData>
    <row r="2" spans="1:8" ht="27">
      <c r="A2" s="13"/>
      <c r="B2" s="93" t="str">
        <f>"コースプラン/インストラクションガイド 「"&amp;master!$B$1&amp;"_IG」"</f>
        <v>コースプラン/インストラクションガイド 「AI Native-バイブコーディング_IG」</v>
      </c>
      <c r="C2" s="93"/>
      <c r="D2" s="93"/>
      <c r="E2" s="93"/>
      <c r="F2" s="93"/>
      <c r="G2" s="93"/>
    </row>
    <row r="3" spans="1:8" ht="27.6" thickBot="1">
      <c r="A3" s="13"/>
      <c r="B3" s="14"/>
      <c r="C3" s="13"/>
      <c r="D3" s="13"/>
      <c r="E3" s="13"/>
      <c r="F3" s="13"/>
      <c r="G3" s="13"/>
    </row>
    <row r="4" spans="1:8" ht="27.6" thickBot="1">
      <c r="A4" s="13"/>
      <c r="B4" s="94" t="s">
        <v>11</v>
      </c>
      <c r="C4" s="95"/>
      <c r="D4" s="13"/>
      <c r="E4" s="13"/>
      <c r="F4" s="13"/>
      <c r="G4" s="13"/>
    </row>
    <row r="5" spans="1:8" ht="27.6" thickBot="1">
      <c r="A5" s="13"/>
      <c r="B5" s="96"/>
      <c r="C5" s="97"/>
      <c r="D5" s="13"/>
      <c r="E5" s="13"/>
      <c r="F5" s="13"/>
      <c r="G5" s="13"/>
    </row>
    <row r="7" spans="1:8" ht="16.2">
      <c r="B7" s="98" t="s">
        <v>2</v>
      </c>
      <c r="C7" s="98"/>
    </row>
    <row r="8" spans="1:8">
      <c r="E8" s="15"/>
      <c r="G8" s="15"/>
    </row>
    <row r="9" spans="1:8">
      <c r="B9" s="21"/>
      <c r="C9" s="21" t="s">
        <v>0</v>
      </c>
      <c r="D9" s="21"/>
      <c r="E9" s="21" t="s">
        <v>315</v>
      </c>
      <c r="F9" s="21"/>
      <c r="G9" s="21" t="s">
        <v>316</v>
      </c>
    </row>
    <row r="10" spans="1:8" ht="14.25" customHeight="1">
      <c r="A10" s="34">
        <v>0.39583333333333331</v>
      </c>
      <c r="B10" s="16">
        <v>0.39583333333333331</v>
      </c>
      <c r="C10" s="69" t="s">
        <v>3</v>
      </c>
      <c r="D10" s="34">
        <v>0.39583333333333331</v>
      </c>
      <c r="E10" s="69" t="s">
        <v>3</v>
      </c>
      <c r="F10" s="34">
        <v>0.39583333333333331</v>
      </c>
      <c r="G10" s="90" t="s">
        <v>3</v>
      </c>
    </row>
    <row r="11" spans="1:8">
      <c r="A11" s="36"/>
      <c r="B11" s="56">
        <v>0.40625</v>
      </c>
      <c r="C11" s="66" t="str">
        <f>master!B3</f>
        <v>バイブコーディングの導入</v>
      </c>
      <c r="D11" s="56">
        <v>0.40625</v>
      </c>
      <c r="E11" s="55" t="str">
        <f>master!B67</f>
        <v>課題1の実施</v>
      </c>
      <c r="F11" s="56">
        <v>0.40625</v>
      </c>
      <c r="G11" s="55" t="str">
        <f>master!B67</f>
        <v>課題1の実施</v>
      </c>
    </row>
    <row r="12" spans="1:8">
      <c r="A12" s="34">
        <v>0.41666666666666669</v>
      </c>
      <c r="B12" s="64"/>
      <c r="C12" s="65" t="str">
        <f>master!B4</f>
        <v>Webアプリケーションとは</v>
      </c>
      <c r="D12" s="63"/>
      <c r="E12" s="51"/>
      <c r="F12" s="63"/>
      <c r="G12" s="51" t="str">
        <f>master!B156</f>
        <v>課題2の実施</v>
      </c>
    </row>
    <row r="13" spans="1:8">
      <c r="A13" s="35"/>
      <c r="B13" s="56">
        <v>0.42708333333333331</v>
      </c>
      <c r="C13" s="66" t="str">
        <f>master!B9</f>
        <v>データベースとは</v>
      </c>
      <c r="D13" s="63"/>
      <c r="E13" s="51"/>
      <c r="F13" s="63"/>
      <c r="G13" s="51"/>
      <c r="H13" s="6"/>
    </row>
    <row r="14" spans="1:8">
      <c r="A14" s="35"/>
      <c r="B14" s="64"/>
      <c r="C14" s="68"/>
      <c r="D14" s="63"/>
      <c r="E14" s="51"/>
      <c r="F14" s="63"/>
      <c r="G14" s="51"/>
      <c r="H14" s="6"/>
    </row>
    <row r="15" spans="1:8">
      <c r="A15" s="36"/>
      <c r="B15" s="56">
        <v>0.44791666666666669</v>
      </c>
      <c r="C15" s="66" t="str">
        <f>master!B17</f>
        <v>Java言語、Springフレームワークとは</v>
      </c>
      <c r="D15" s="63"/>
      <c r="E15" s="51"/>
      <c r="F15" s="63"/>
      <c r="G15" s="51"/>
      <c r="H15" s="6"/>
    </row>
    <row r="16" spans="1:8">
      <c r="A16" s="34">
        <v>0.45833333333333331</v>
      </c>
      <c r="B16" s="63"/>
      <c r="C16" s="67"/>
      <c r="D16" s="63"/>
      <c r="E16" s="51"/>
      <c r="F16" s="63"/>
      <c r="G16" s="51"/>
      <c r="H16" s="6"/>
    </row>
    <row r="17" spans="1:8">
      <c r="A17" s="35"/>
      <c r="B17" s="63"/>
      <c r="C17" s="67"/>
      <c r="D17" s="63"/>
      <c r="E17" s="51"/>
      <c r="F17" s="63"/>
      <c r="G17" s="51"/>
      <c r="H17" s="6"/>
    </row>
    <row r="18" spans="1:8">
      <c r="A18" s="35"/>
      <c r="B18" s="63"/>
      <c r="C18" s="67"/>
      <c r="D18" s="63"/>
      <c r="E18" s="51"/>
      <c r="F18" s="63"/>
      <c r="G18" s="51"/>
      <c r="H18" s="6"/>
    </row>
    <row r="19" spans="1:8">
      <c r="A19" s="36"/>
      <c r="B19" s="64"/>
      <c r="C19" s="68"/>
      <c r="D19" s="63"/>
      <c r="E19" s="51"/>
      <c r="F19" s="63"/>
      <c r="G19" s="51"/>
      <c r="H19" s="6"/>
    </row>
    <row r="20" spans="1:8">
      <c r="A20" s="54">
        <v>0.5</v>
      </c>
      <c r="B20" s="54">
        <v>0.5</v>
      </c>
      <c r="C20" s="37" t="s">
        <v>52</v>
      </c>
      <c r="D20" s="63"/>
      <c r="E20" s="51"/>
      <c r="F20" s="63"/>
      <c r="G20" s="51"/>
      <c r="H20" s="6"/>
    </row>
    <row r="21" spans="1:8">
      <c r="A21" s="49"/>
      <c r="B21" s="50"/>
      <c r="C21" s="38"/>
      <c r="D21" s="64"/>
      <c r="E21" s="52"/>
      <c r="F21" s="64"/>
      <c r="G21" s="52"/>
      <c r="H21" s="6"/>
    </row>
    <row r="22" spans="1:8">
      <c r="A22" s="35"/>
      <c r="B22" s="35">
        <v>0.52083333333333337</v>
      </c>
      <c r="C22" s="70" t="s">
        <v>1</v>
      </c>
      <c r="D22" s="35">
        <v>0.52083333333333337</v>
      </c>
      <c r="E22" s="70" t="s">
        <v>1</v>
      </c>
      <c r="F22" s="35">
        <v>0.52083333333333337</v>
      </c>
      <c r="G22" s="71" t="s">
        <v>1</v>
      </c>
      <c r="H22" s="6"/>
    </row>
    <row r="23" spans="1:8">
      <c r="A23" s="36"/>
      <c r="B23" s="35" t="s">
        <v>29</v>
      </c>
      <c r="C23" s="71"/>
      <c r="D23" s="35" t="s">
        <v>29</v>
      </c>
      <c r="E23" s="71"/>
      <c r="F23" s="35" t="s">
        <v>29</v>
      </c>
      <c r="G23" s="71"/>
      <c r="H23" s="6"/>
    </row>
    <row r="24" spans="1:8">
      <c r="A24" s="34">
        <v>0.54166666666666663</v>
      </c>
      <c r="B24" s="35" t="s">
        <v>29</v>
      </c>
      <c r="C24" s="71"/>
      <c r="D24" s="35" t="s">
        <v>29</v>
      </c>
      <c r="E24" s="71"/>
      <c r="F24" s="35" t="s">
        <v>29</v>
      </c>
      <c r="G24" s="71"/>
      <c r="H24" s="6"/>
    </row>
    <row r="25" spans="1:8">
      <c r="A25" s="35"/>
      <c r="B25" s="36" t="s">
        <v>29</v>
      </c>
      <c r="C25" s="72"/>
      <c r="D25" s="36" t="s">
        <v>29</v>
      </c>
      <c r="E25" s="72"/>
      <c r="F25" s="36" t="s">
        <v>29</v>
      </c>
      <c r="G25" s="72"/>
      <c r="H25" s="6"/>
    </row>
    <row r="26" spans="1:8">
      <c r="A26" s="35"/>
      <c r="B26" s="37">
        <v>0.5625</v>
      </c>
      <c r="C26" s="55" t="str">
        <f>master!B37</f>
        <v>課題1の導入</v>
      </c>
      <c r="D26" s="37">
        <v>0.5625</v>
      </c>
      <c r="E26" s="66" t="str">
        <f>master!B116</f>
        <v>単体テストとJunitの導入</v>
      </c>
      <c r="F26" s="37">
        <v>0.5625</v>
      </c>
      <c r="G26" s="55"/>
      <c r="H26" s="6"/>
    </row>
    <row r="27" spans="1:8">
      <c r="A27" s="36"/>
      <c r="B27" s="38"/>
      <c r="C27" s="52"/>
      <c r="D27" s="39"/>
      <c r="E27" s="66" t="str">
        <f>master!B119</f>
        <v>テストとは</v>
      </c>
      <c r="F27" s="39"/>
      <c r="G27" s="51"/>
      <c r="H27" s="6"/>
    </row>
    <row r="28" spans="1:8">
      <c r="A28" s="34">
        <v>0.58333333333333337</v>
      </c>
      <c r="B28" s="37">
        <v>0.58333333333333337</v>
      </c>
      <c r="C28" s="55" t="str">
        <f>master!B40</f>
        <v>Spring Bootプロジェクトの_x000B_準備、起動確認</v>
      </c>
      <c r="D28" s="34">
        <v>0.58333333333333337</v>
      </c>
      <c r="E28" s="66" t="str">
        <f>master!B123</f>
        <v>単体テストとは</v>
      </c>
      <c r="F28" s="39"/>
      <c r="G28" s="51"/>
      <c r="H28" s="6"/>
    </row>
    <row r="29" spans="1:8">
      <c r="A29" s="35"/>
      <c r="B29" s="38"/>
      <c r="C29" s="52"/>
      <c r="D29" s="39"/>
      <c r="E29" s="67"/>
      <c r="F29" s="39"/>
      <c r="G29" s="51"/>
      <c r="H29" s="6"/>
    </row>
    <row r="30" spans="1:8">
      <c r="A30" s="35"/>
      <c r="B30" s="39">
        <v>0.60416666666666663</v>
      </c>
      <c r="C30" s="51" t="str">
        <f>master!B44</f>
        <v>ECサイト Webアプリの要件</v>
      </c>
      <c r="D30" s="39"/>
      <c r="E30" s="67"/>
      <c r="F30" s="39"/>
      <c r="G30" s="51"/>
      <c r="H30" s="6"/>
    </row>
    <row r="31" spans="1:8">
      <c r="A31" s="36"/>
      <c r="B31" s="39"/>
      <c r="C31" s="52"/>
      <c r="D31" s="39"/>
      <c r="E31" s="67"/>
      <c r="F31" s="39"/>
      <c r="G31" s="51"/>
      <c r="H31" s="6"/>
    </row>
    <row r="32" spans="1:8">
      <c r="A32" s="54">
        <v>0.625</v>
      </c>
      <c r="B32" s="54">
        <v>0.625</v>
      </c>
      <c r="C32" s="55" t="str">
        <f>master!B53</f>
        <v>ハンズオン</v>
      </c>
      <c r="D32" s="39"/>
      <c r="E32" s="67"/>
      <c r="F32" s="39"/>
      <c r="G32" s="51"/>
      <c r="H32" s="6"/>
    </row>
    <row r="33" spans="1:8">
      <c r="A33" s="49"/>
      <c r="B33" s="39"/>
      <c r="C33" s="51"/>
      <c r="D33" s="38"/>
      <c r="E33" s="68"/>
      <c r="F33" s="39"/>
      <c r="G33" s="51"/>
      <c r="H33" s="6"/>
    </row>
    <row r="34" spans="1:8">
      <c r="A34" s="49"/>
      <c r="B34" s="39"/>
      <c r="C34" s="51"/>
      <c r="D34" s="84">
        <v>0.64583333333333337</v>
      </c>
      <c r="E34" s="65" t="str">
        <f>master!B141</f>
        <v>JUnit</v>
      </c>
      <c r="F34" s="39"/>
      <c r="G34" s="51"/>
      <c r="H34" s="6"/>
    </row>
    <row r="35" spans="1:8">
      <c r="A35" s="36"/>
      <c r="B35" s="39"/>
      <c r="C35" s="51"/>
      <c r="D35" s="84">
        <v>0.65277777777777779</v>
      </c>
      <c r="E35" s="85" t="str">
        <f>master!B144</f>
        <v>課題2の導入</v>
      </c>
      <c r="F35" s="39"/>
      <c r="G35" s="51"/>
      <c r="H35" s="6"/>
    </row>
    <row r="36" spans="1:8">
      <c r="A36" s="34">
        <v>0.66666666666666663</v>
      </c>
      <c r="B36" s="39"/>
      <c r="C36" s="51"/>
      <c r="D36" s="34">
        <v>0.66666666666666663</v>
      </c>
      <c r="E36" s="55" t="str">
        <f>master!B148</f>
        <v>ハンズオン</v>
      </c>
      <c r="F36" s="39"/>
      <c r="G36" s="51"/>
      <c r="H36" s="6"/>
    </row>
    <row r="37" spans="1:8">
      <c r="A37" s="35"/>
      <c r="B37" s="39"/>
      <c r="C37" s="52"/>
      <c r="D37" s="39"/>
      <c r="E37" s="51"/>
      <c r="F37" s="38"/>
      <c r="G37" s="52"/>
      <c r="H37" s="6"/>
    </row>
    <row r="38" spans="1:8">
      <c r="A38" s="35"/>
      <c r="B38" s="56">
        <v>0.6875</v>
      </c>
      <c r="C38" s="66" t="s">
        <v>426</v>
      </c>
      <c r="D38" s="39"/>
      <c r="E38" s="51"/>
      <c r="F38" s="63">
        <v>0.6875</v>
      </c>
      <c r="G38" s="51" t="str">
        <f>master!B164</f>
        <v>演習の振り返り</v>
      </c>
      <c r="H38" s="6"/>
    </row>
    <row r="39" spans="1:8">
      <c r="A39" s="35"/>
      <c r="B39" s="63"/>
      <c r="C39" s="67"/>
      <c r="D39" s="39"/>
      <c r="E39" s="51"/>
      <c r="F39" s="39"/>
      <c r="G39" s="51"/>
      <c r="H39" s="6"/>
    </row>
    <row r="40" spans="1:8">
      <c r="A40" s="37">
        <v>0.70833333333333337</v>
      </c>
      <c r="B40" s="63"/>
      <c r="C40" s="68"/>
      <c r="D40" s="39"/>
      <c r="E40" s="51"/>
      <c r="F40" s="39"/>
      <c r="G40" s="51"/>
      <c r="H40" s="6"/>
    </row>
    <row r="41" spans="1:8">
      <c r="A41" s="35"/>
      <c r="B41" s="37">
        <v>0.71875</v>
      </c>
      <c r="C41" s="55" t="s">
        <v>426</v>
      </c>
      <c r="D41" s="39"/>
      <c r="E41" s="99"/>
      <c r="F41" s="39"/>
      <c r="G41" s="51"/>
      <c r="H41" s="6"/>
    </row>
    <row r="42" spans="1:8">
      <c r="A42" s="39"/>
      <c r="B42" s="64"/>
      <c r="C42" s="52"/>
      <c r="D42" s="39"/>
      <c r="E42" s="100"/>
      <c r="F42" s="37">
        <v>0.72916666666666663</v>
      </c>
      <c r="G42" s="91" t="s">
        <v>52</v>
      </c>
      <c r="H42" s="6"/>
    </row>
    <row r="43" spans="1:8" ht="14.25" customHeight="1">
      <c r="A43" s="38"/>
      <c r="B43" s="74">
        <v>0.73958333333333337</v>
      </c>
      <c r="C43" s="73" t="s">
        <v>52</v>
      </c>
      <c r="D43" s="74">
        <v>0.73958333333333337</v>
      </c>
      <c r="E43" s="73" t="s">
        <v>52</v>
      </c>
      <c r="F43" s="38"/>
      <c r="G43" s="92"/>
    </row>
    <row r="44" spans="1:8" ht="15.6" thickBot="1">
      <c r="A44" s="6"/>
      <c r="D44" s="20"/>
      <c r="F44" s="20"/>
      <c r="H44" s="6"/>
    </row>
  </sheetData>
  <mergeCells count="5">
    <mergeCell ref="B2:G2"/>
    <mergeCell ref="B4:C4"/>
    <mergeCell ref="B5:C5"/>
    <mergeCell ref="B7:C7"/>
    <mergeCell ref="E41:E42"/>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4" t="s">
        <v>4</v>
      </c>
      <c r="C4" s="104"/>
      <c r="D4" s="8"/>
      <c r="E4" s="8"/>
      <c r="F4" s="8"/>
      <c r="G4" s="7"/>
      <c r="H4" s="23"/>
      <c r="I4" s="18"/>
      <c r="J4" s="18"/>
      <c r="K4" s="9"/>
    </row>
    <row r="5" spans="1:12" ht="36" customHeight="1">
      <c r="B5" s="105"/>
      <c r="C5" s="105"/>
      <c r="D5" s="105"/>
      <c r="E5" s="105"/>
      <c r="F5" s="105"/>
      <c r="G5" s="105"/>
      <c r="H5" s="105"/>
      <c r="I5" s="105"/>
      <c r="J5" s="105"/>
      <c r="K5" s="105"/>
    </row>
    <row r="6" spans="1:12">
      <c r="B6" s="10"/>
      <c r="C6" s="10"/>
      <c r="G6" s="10"/>
      <c r="K6" s="10"/>
    </row>
    <row r="7" spans="1:12">
      <c r="B7" s="30" t="s">
        <v>14</v>
      </c>
      <c r="C7" s="30" t="s">
        <v>15</v>
      </c>
      <c r="D7" s="106" t="s">
        <v>20</v>
      </c>
      <c r="E7" s="106"/>
      <c r="F7" s="30" t="s">
        <v>10</v>
      </c>
      <c r="G7" s="30" t="s">
        <v>16</v>
      </c>
      <c r="K7" s="6"/>
      <c r="L7" s="6"/>
    </row>
    <row r="8" spans="1:12">
      <c r="B8" s="31" t="s">
        <v>17</v>
      </c>
      <c r="C8" s="32" t="s">
        <v>33</v>
      </c>
      <c r="D8" s="42" t="s">
        <v>19</v>
      </c>
      <c r="E8" s="41"/>
      <c r="F8" s="33" t="s">
        <v>22</v>
      </c>
      <c r="G8" s="33" t="s">
        <v>18</v>
      </c>
      <c r="K8" s="6"/>
      <c r="L8" s="6"/>
    </row>
    <row r="10" spans="1:12">
      <c r="A10" s="10"/>
      <c r="B10" s="102"/>
      <c r="C10" s="102" t="s">
        <v>7</v>
      </c>
      <c r="D10" s="102" t="s">
        <v>8</v>
      </c>
      <c r="E10" s="102"/>
      <c r="F10" s="102"/>
      <c r="G10" s="102" t="s">
        <v>9</v>
      </c>
      <c r="H10" s="107" t="s">
        <v>23</v>
      </c>
      <c r="I10" s="101" t="s">
        <v>31</v>
      </c>
      <c r="J10" s="101"/>
      <c r="K10" s="101" t="s">
        <v>30</v>
      </c>
      <c r="L10" s="10"/>
    </row>
    <row r="11" spans="1:12">
      <c r="A11" s="10"/>
      <c r="B11" s="102"/>
      <c r="C11" s="102"/>
      <c r="D11" s="102"/>
      <c r="E11" s="102"/>
      <c r="F11" s="102"/>
      <c r="G11" s="102"/>
      <c r="H11" s="108"/>
      <c r="I11" s="25" t="s">
        <v>25</v>
      </c>
      <c r="J11" s="25" t="s">
        <v>6</v>
      </c>
      <c r="K11" s="102"/>
      <c r="L11" s="10"/>
    </row>
    <row r="12" spans="1:12" ht="63">
      <c r="A12" s="10"/>
      <c r="B12" s="19"/>
      <c r="C12" s="19" t="s">
        <v>327</v>
      </c>
      <c r="D12" s="103" t="s">
        <v>50</v>
      </c>
      <c r="E12" s="103"/>
      <c r="F12" s="103"/>
      <c r="G12" s="87" t="s">
        <v>51</v>
      </c>
      <c r="H12" s="19"/>
      <c r="I12" s="47" t="s">
        <v>24</v>
      </c>
      <c r="J12" s="53">
        <v>1.0416666666666666E-2</v>
      </c>
      <c r="K12" s="19"/>
      <c r="L12" s="10"/>
    </row>
    <row r="13" spans="1:12" ht="25.2">
      <c r="A13" s="10"/>
      <c r="B13" s="19"/>
      <c r="C13" s="19" t="s">
        <v>328</v>
      </c>
      <c r="D13" s="103" t="s">
        <v>325</v>
      </c>
      <c r="E13" s="103"/>
      <c r="F13" s="103"/>
      <c r="G13" s="87" t="s">
        <v>326</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4" t="s">
        <v>4</v>
      </c>
      <c r="C4" s="104"/>
      <c r="D4" s="104"/>
      <c r="E4" s="104"/>
      <c r="F4" s="8"/>
      <c r="G4" s="8"/>
      <c r="H4" s="7"/>
      <c r="I4" s="18"/>
      <c r="J4" s="18"/>
      <c r="K4" s="18"/>
      <c r="L4" s="9"/>
      <c r="M4" s="9"/>
    </row>
    <row r="5" spans="2:14" ht="36" customHeight="1">
      <c r="B5" s="126"/>
      <c r="C5" s="126"/>
      <c r="D5" s="126"/>
      <c r="E5" s="126"/>
      <c r="F5" s="126"/>
      <c r="G5" s="126"/>
      <c r="H5" s="126"/>
      <c r="I5" s="126"/>
      <c r="J5" s="126"/>
      <c r="K5" s="126"/>
      <c r="L5" s="26"/>
      <c r="M5" s="27"/>
    </row>
    <row r="6" spans="2:14">
      <c r="B6" s="10"/>
      <c r="C6" s="10"/>
      <c r="D6" s="10"/>
      <c r="E6" s="10"/>
      <c r="H6" s="10"/>
      <c r="L6" s="10"/>
      <c r="M6" s="10"/>
    </row>
    <row r="7" spans="2:14">
      <c r="B7" s="30" t="s">
        <v>14</v>
      </c>
      <c r="C7" s="30" t="s">
        <v>15</v>
      </c>
      <c r="D7" s="106" t="s">
        <v>20</v>
      </c>
      <c r="E7" s="106"/>
      <c r="F7" s="30" t="s">
        <v>10</v>
      </c>
      <c r="G7" s="30" t="s">
        <v>16</v>
      </c>
      <c r="I7" s="45"/>
      <c r="J7" s="6"/>
      <c r="K7" s="6"/>
      <c r="L7" s="6"/>
      <c r="M7" s="6"/>
      <c r="N7" s="6"/>
    </row>
    <row r="8" spans="2:14">
      <c r="B8" s="31" t="s">
        <v>38</v>
      </c>
      <c r="C8" s="57" t="s">
        <v>34</v>
      </c>
      <c r="D8" s="42" t="s">
        <v>19</v>
      </c>
      <c r="E8" s="41"/>
      <c r="F8" s="33" t="s">
        <v>21</v>
      </c>
      <c r="G8" s="33" t="s">
        <v>18</v>
      </c>
      <c r="K8" s="6"/>
      <c r="L8" s="6"/>
      <c r="M8" s="6"/>
      <c r="N8" s="6"/>
    </row>
    <row r="9" spans="2:14">
      <c r="B9" s="31" t="s">
        <v>39</v>
      </c>
      <c r="C9" s="57" t="s">
        <v>36</v>
      </c>
      <c r="D9" s="42" t="s">
        <v>19</v>
      </c>
      <c r="E9" s="41"/>
      <c r="F9" s="33" t="s">
        <v>21</v>
      </c>
      <c r="G9" s="33" t="s">
        <v>18</v>
      </c>
      <c r="K9" s="6"/>
      <c r="L9" s="6"/>
      <c r="M9" s="6"/>
      <c r="N9" s="6"/>
    </row>
    <row r="10" spans="2:14">
      <c r="B10" s="31" t="s">
        <v>90</v>
      </c>
      <c r="C10" s="33" t="s">
        <v>35</v>
      </c>
      <c r="D10" s="42" t="s">
        <v>19</v>
      </c>
      <c r="E10" s="41"/>
      <c r="F10" s="33" t="s">
        <v>21</v>
      </c>
      <c r="G10" s="33" t="s">
        <v>18</v>
      </c>
      <c r="K10" s="6"/>
      <c r="L10" s="6"/>
      <c r="M10" s="6"/>
      <c r="N10" s="6"/>
    </row>
    <row r="11" spans="2:14">
      <c r="B11" s="31" t="s">
        <v>91</v>
      </c>
      <c r="C11" s="57" t="s">
        <v>88</v>
      </c>
      <c r="D11" s="42" t="s">
        <v>19</v>
      </c>
      <c r="E11" s="41"/>
      <c r="F11" s="33" t="s">
        <v>21</v>
      </c>
      <c r="G11" s="33" t="s">
        <v>18</v>
      </c>
      <c r="K11" s="6"/>
      <c r="L11" s="6"/>
      <c r="M11" s="6"/>
      <c r="N11" s="6"/>
    </row>
    <row r="12" spans="2:14">
      <c r="B12" s="31" t="s">
        <v>92</v>
      </c>
      <c r="C12" s="33" t="s">
        <v>89</v>
      </c>
      <c r="D12" s="42" t="s">
        <v>19</v>
      </c>
      <c r="E12" s="41"/>
      <c r="F12" s="33" t="s">
        <v>21</v>
      </c>
      <c r="G12" s="33" t="s">
        <v>18</v>
      </c>
      <c r="K12" s="6"/>
      <c r="L12" s="6"/>
      <c r="M12" s="6"/>
      <c r="N12" s="6"/>
    </row>
    <row r="13" spans="2:14">
      <c r="B13" s="31" t="s">
        <v>329</v>
      </c>
      <c r="C13" s="57" t="s">
        <v>37</v>
      </c>
      <c r="D13" s="42" t="s">
        <v>19</v>
      </c>
      <c r="E13" s="41"/>
      <c r="F13" s="33" t="s">
        <v>21</v>
      </c>
      <c r="G13" s="33" t="s">
        <v>18</v>
      </c>
      <c r="K13" s="6"/>
      <c r="L13" s="6"/>
      <c r="M13" s="6"/>
      <c r="N13" s="6"/>
    </row>
    <row r="14" spans="2:14">
      <c r="B14" s="31" t="s">
        <v>93</v>
      </c>
      <c r="C14" s="57" t="s">
        <v>372</v>
      </c>
      <c r="D14" s="42" t="s">
        <v>19</v>
      </c>
      <c r="E14" s="41"/>
      <c r="F14" s="33" t="s">
        <v>21</v>
      </c>
      <c r="G14" s="33" t="s">
        <v>18</v>
      </c>
      <c r="K14" s="6"/>
      <c r="L14" s="6"/>
      <c r="M14" s="6"/>
      <c r="N14" s="6"/>
    </row>
    <row r="15" spans="2:14">
      <c r="B15" s="31" t="s">
        <v>94</v>
      </c>
      <c r="C15" s="57" t="s">
        <v>373</v>
      </c>
      <c r="D15" s="42" t="s">
        <v>19</v>
      </c>
      <c r="E15" s="41"/>
      <c r="F15" s="33" t="s">
        <v>21</v>
      </c>
      <c r="G15" s="33" t="s">
        <v>18</v>
      </c>
      <c r="K15" s="6"/>
      <c r="L15" s="6"/>
      <c r="M15" s="6"/>
      <c r="N15" s="6"/>
    </row>
    <row r="16" spans="2:14">
      <c r="B16" s="31" t="s">
        <v>282</v>
      </c>
      <c r="C16" s="57" t="s">
        <v>283</v>
      </c>
      <c r="D16" s="42" t="s">
        <v>19</v>
      </c>
      <c r="E16" s="41"/>
      <c r="F16" s="33" t="s">
        <v>21</v>
      </c>
      <c r="G16" s="33" t="s">
        <v>18</v>
      </c>
      <c r="K16" s="6"/>
      <c r="L16" s="6"/>
      <c r="M16" s="6"/>
      <c r="N16" s="6"/>
    </row>
    <row r="17" spans="1:14">
      <c r="B17" s="31" t="s">
        <v>285</v>
      </c>
      <c r="C17" s="57" t="s">
        <v>284</v>
      </c>
      <c r="D17" s="42" t="s">
        <v>19</v>
      </c>
      <c r="E17" s="41"/>
      <c r="F17" s="33" t="s">
        <v>21</v>
      </c>
      <c r="G17" s="33" t="s">
        <v>18</v>
      </c>
      <c r="K17" s="6"/>
      <c r="L17" s="6"/>
      <c r="M17" s="6"/>
      <c r="N17" s="6"/>
    </row>
    <row r="19" spans="1:14" ht="24" customHeight="1">
      <c r="A19" s="10"/>
      <c r="B19" s="102" t="s">
        <v>5</v>
      </c>
      <c r="C19" s="102" t="s">
        <v>7</v>
      </c>
      <c r="D19" s="102" t="s">
        <v>8</v>
      </c>
      <c r="E19" s="102"/>
      <c r="F19" s="102"/>
      <c r="G19" s="102" t="s">
        <v>9</v>
      </c>
      <c r="H19" s="101" t="s">
        <v>23</v>
      </c>
      <c r="I19" s="124" t="s">
        <v>31</v>
      </c>
      <c r="J19" s="125"/>
      <c r="K19" s="101" t="s">
        <v>32</v>
      </c>
      <c r="L19" s="6"/>
      <c r="M19" s="6"/>
      <c r="N19" s="6"/>
    </row>
    <row r="20" spans="1:14">
      <c r="A20" s="10"/>
      <c r="B20" s="102"/>
      <c r="C20" s="102"/>
      <c r="D20" s="102"/>
      <c r="E20" s="102"/>
      <c r="F20" s="102"/>
      <c r="G20" s="102"/>
      <c r="H20" s="101"/>
      <c r="I20" s="25" t="s">
        <v>25</v>
      </c>
      <c r="J20" s="25" t="s">
        <v>6</v>
      </c>
      <c r="K20" s="102"/>
      <c r="L20" s="6"/>
      <c r="M20" s="6"/>
      <c r="N20" s="6"/>
    </row>
    <row r="21" spans="1:14" ht="151.19999999999999">
      <c r="A21" s="10"/>
      <c r="B21" s="75" t="str">
        <f>master!B3</f>
        <v>バイブコーディングの導入</v>
      </c>
      <c r="C21" s="48" t="str">
        <f>master!C3</f>
        <v>講義の目的</v>
      </c>
      <c r="D21" s="118" t="s">
        <v>95</v>
      </c>
      <c r="E21" s="119"/>
      <c r="F21" s="120"/>
      <c r="G21" s="48" t="s">
        <v>96</v>
      </c>
      <c r="H21" s="12"/>
      <c r="I21" s="46" t="s">
        <v>24</v>
      </c>
      <c r="J21" s="44">
        <v>2.0833333333333333E-3</v>
      </c>
      <c r="K21" s="40"/>
      <c r="L21" s="6"/>
      <c r="M21" s="6"/>
      <c r="N21" s="6"/>
    </row>
    <row r="22" spans="1:14" ht="138.6" customHeight="1">
      <c r="A22" s="10"/>
      <c r="B22" s="112" t="str">
        <f>master!B4</f>
        <v>Webアプリケーションとは</v>
      </c>
      <c r="C22" s="48" t="str">
        <f>master!C4</f>
        <v>Webアプリケーションとは</v>
      </c>
      <c r="D22" s="118" t="s">
        <v>97</v>
      </c>
      <c r="E22" s="119"/>
      <c r="F22" s="120"/>
      <c r="G22" s="48" t="s">
        <v>40</v>
      </c>
      <c r="H22" s="12"/>
      <c r="I22" s="46" t="s">
        <v>24</v>
      </c>
      <c r="J22" s="44">
        <v>3.472222222222222E-3</v>
      </c>
      <c r="K22" s="40"/>
      <c r="L22" s="6"/>
      <c r="M22" s="6"/>
      <c r="N22" s="6"/>
    </row>
    <row r="23" spans="1:14" ht="75.599999999999994">
      <c r="A23" s="11"/>
      <c r="B23" s="113"/>
      <c r="C23" s="48" t="str">
        <f>master!C5</f>
        <v>Webアプリケーションの種類</v>
      </c>
      <c r="D23" s="118" t="s">
        <v>98</v>
      </c>
      <c r="E23" s="119"/>
      <c r="F23" s="120"/>
      <c r="G23" s="48" t="s">
        <v>44</v>
      </c>
      <c r="H23" s="12"/>
      <c r="I23" s="46" t="s">
        <v>24</v>
      </c>
      <c r="J23" s="44">
        <v>3.472222222222222E-3</v>
      </c>
      <c r="K23" s="40"/>
      <c r="L23" s="6"/>
      <c r="M23" s="6"/>
      <c r="N23" s="6"/>
    </row>
    <row r="24" spans="1:14" ht="37.799999999999997">
      <c r="A24" s="11"/>
      <c r="B24" s="113"/>
      <c r="C24" s="48" t="str">
        <f>master!C6</f>
        <v>アプリケーションとは</v>
      </c>
      <c r="D24" s="118" t="s">
        <v>99</v>
      </c>
      <c r="E24" s="119"/>
      <c r="F24" s="120"/>
      <c r="G24" s="48" t="s">
        <v>42</v>
      </c>
      <c r="H24" s="12"/>
      <c r="I24" s="46" t="s">
        <v>24</v>
      </c>
      <c r="J24" s="44">
        <v>2.0833333333333333E-3</v>
      </c>
      <c r="K24" s="40"/>
      <c r="L24" s="6"/>
      <c r="M24" s="6"/>
      <c r="N24" s="6"/>
    </row>
    <row r="25" spans="1:14" ht="63">
      <c r="A25" s="11"/>
      <c r="B25" s="113"/>
      <c r="C25" s="48" t="str">
        <f>master!C7</f>
        <v>Web画面アプリケーション</v>
      </c>
      <c r="D25" s="118" t="s">
        <v>100</v>
      </c>
      <c r="E25" s="119"/>
      <c r="F25" s="120"/>
      <c r="G25" s="48" t="s">
        <v>41</v>
      </c>
      <c r="H25" s="12"/>
      <c r="I25" s="46" t="s">
        <v>24</v>
      </c>
      <c r="J25" s="44">
        <v>2.0833333333333333E-3</v>
      </c>
      <c r="K25" s="40"/>
      <c r="L25" s="6"/>
      <c r="M25" s="6"/>
      <c r="N25" s="6"/>
    </row>
    <row r="26" spans="1:14" ht="63">
      <c r="A26" s="11"/>
      <c r="B26" s="113"/>
      <c r="C26" s="48"/>
      <c r="D26" s="118" t="s">
        <v>101</v>
      </c>
      <c r="E26" s="119"/>
      <c r="F26" s="120"/>
      <c r="G26" s="48" t="s">
        <v>41</v>
      </c>
      <c r="H26" s="12"/>
      <c r="I26" s="46" t="s">
        <v>24</v>
      </c>
      <c r="J26" s="44">
        <v>6.9444444444444447E-4</v>
      </c>
      <c r="K26" s="40"/>
      <c r="L26" s="6"/>
      <c r="M26" s="6"/>
      <c r="N26" s="6"/>
    </row>
    <row r="27" spans="1:14" ht="113.4">
      <c r="A27" s="11"/>
      <c r="B27" s="114"/>
      <c r="C27" s="48" t="str">
        <f>master!C8</f>
        <v>ブラウザからのリクエスト種類</v>
      </c>
      <c r="D27" s="118" t="s">
        <v>102</v>
      </c>
      <c r="E27" s="119"/>
      <c r="F27" s="120"/>
      <c r="G27" s="48" t="s">
        <v>45</v>
      </c>
      <c r="H27" s="12"/>
      <c r="I27" s="46" t="s">
        <v>24</v>
      </c>
      <c r="J27" s="44">
        <v>2.0833333333333333E-3</v>
      </c>
      <c r="K27" s="40"/>
      <c r="L27" s="6"/>
      <c r="M27" s="6"/>
      <c r="N27" s="6"/>
    </row>
    <row r="28" spans="1:14" ht="102" customHeight="1">
      <c r="A28" s="11"/>
      <c r="B28" s="112" t="str">
        <f>master!B9</f>
        <v>データベースとは</v>
      </c>
      <c r="C28" s="48" t="str">
        <f>master!C9</f>
        <v>データベースとは</v>
      </c>
      <c r="D28" s="118" t="s">
        <v>103</v>
      </c>
      <c r="E28" s="119"/>
      <c r="F28" s="120"/>
      <c r="G28" s="48" t="s">
        <v>42</v>
      </c>
      <c r="H28" s="12"/>
      <c r="I28" s="46" t="s">
        <v>24</v>
      </c>
      <c r="J28" s="44">
        <v>2.0833333333333333E-3</v>
      </c>
      <c r="K28" s="40"/>
      <c r="L28" s="6"/>
      <c r="M28" s="6"/>
      <c r="N28" s="6"/>
    </row>
    <row r="29" spans="1:14" ht="88.2">
      <c r="A29" s="11"/>
      <c r="B29" s="113"/>
      <c r="C29" s="48" t="str">
        <f>master!C10</f>
        <v>リレーショナルデータベース</v>
      </c>
      <c r="D29" s="118" t="s">
        <v>104</v>
      </c>
      <c r="E29" s="119"/>
      <c r="F29" s="120"/>
      <c r="G29" s="48" t="s">
        <v>46</v>
      </c>
      <c r="H29" s="12"/>
      <c r="I29" s="46" t="s">
        <v>24</v>
      </c>
      <c r="J29" s="44">
        <v>3.472222222222222E-3</v>
      </c>
      <c r="K29" s="40"/>
      <c r="L29" s="6"/>
      <c r="M29" s="6"/>
      <c r="N29" s="6"/>
    </row>
    <row r="30" spans="1:14" ht="25.2">
      <c r="A30" s="11"/>
      <c r="B30" s="113"/>
      <c r="C30" s="48" t="str">
        <f>master!C11</f>
        <v>データベースの役割</v>
      </c>
      <c r="D30" s="118" t="s">
        <v>105</v>
      </c>
      <c r="E30" s="119"/>
      <c r="F30" s="120"/>
      <c r="G30" s="48" t="s">
        <v>47</v>
      </c>
      <c r="H30" s="12"/>
      <c r="I30" s="46" t="s">
        <v>24</v>
      </c>
      <c r="J30" s="44">
        <v>3.472222222222222E-3</v>
      </c>
      <c r="K30" s="40" t="s">
        <v>115</v>
      </c>
      <c r="L30" s="6"/>
      <c r="M30" s="6"/>
      <c r="N30" s="6"/>
    </row>
    <row r="31" spans="1:14" ht="75.599999999999994">
      <c r="A31" s="11"/>
      <c r="B31" s="113"/>
      <c r="C31" s="48" t="str">
        <f>master!C12</f>
        <v>2.1.テーブル</v>
      </c>
      <c r="D31" s="118" t="s">
        <v>106</v>
      </c>
      <c r="E31" s="119"/>
      <c r="F31" s="120"/>
      <c r="G31" s="48" t="s">
        <v>44</v>
      </c>
      <c r="H31" s="12"/>
      <c r="I31" s="46" t="s">
        <v>24</v>
      </c>
      <c r="J31" s="44">
        <v>2.0833333333333333E-3</v>
      </c>
      <c r="K31" s="40"/>
      <c r="L31" s="6"/>
      <c r="M31" s="6"/>
      <c r="N31" s="6"/>
    </row>
    <row r="32" spans="1:14" ht="100.8">
      <c r="A32" s="11"/>
      <c r="B32" s="113"/>
      <c r="C32" s="48" t="str">
        <f>master!C13</f>
        <v>2.2.データ型１</v>
      </c>
      <c r="D32" s="118" t="s">
        <v>107</v>
      </c>
      <c r="E32" s="119"/>
      <c r="F32" s="120"/>
      <c r="G32" s="48" t="s">
        <v>48</v>
      </c>
      <c r="H32" s="12"/>
      <c r="I32" s="46" t="s">
        <v>24</v>
      </c>
      <c r="J32" s="44">
        <v>2.0833333333333333E-3</v>
      </c>
      <c r="K32" s="40"/>
      <c r="L32" s="6"/>
      <c r="M32" s="6"/>
      <c r="N32" s="6"/>
    </row>
    <row r="33" spans="1:14" ht="37.799999999999997">
      <c r="A33" s="11"/>
      <c r="B33" s="113"/>
      <c r="C33" s="48" t="str">
        <f>master!C14</f>
        <v>2.2.データ型２</v>
      </c>
      <c r="D33" s="118" t="s">
        <v>108</v>
      </c>
      <c r="E33" s="119"/>
      <c r="F33" s="120"/>
      <c r="G33" s="48" t="s">
        <v>42</v>
      </c>
      <c r="H33" s="12"/>
      <c r="I33" s="46" t="s">
        <v>24</v>
      </c>
      <c r="J33" s="44">
        <v>2.0833333333333333E-3</v>
      </c>
      <c r="K33" s="40"/>
      <c r="L33" s="6"/>
      <c r="M33" s="6"/>
      <c r="N33" s="6"/>
    </row>
    <row r="34" spans="1:14" ht="37.799999999999997">
      <c r="A34" s="11"/>
      <c r="B34" s="113"/>
      <c r="C34" s="48" t="str">
        <f>master!C15</f>
        <v>2.3.リレーション</v>
      </c>
      <c r="D34" s="118" t="s">
        <v>109</v>
      </c>
      <c r="E34" s="119"/>
      <c r="F34" s="120"/>
      <c r="G34" s="48" t="s">
        <v>42</v>
      </c>
      <c r="H34" s="12"/>
      <c r="I34" s="46" t="s">
        <v>24</v>
      </c>
      <c r="J34" s="44">
        <v>3.472222222222222E-3</v>
      </c>
      <c r="K34" s="40"/>
      <c r="L34" s="6"/>
      <c r="M34" s="6"/>
      <c r="N34" s="6"/>
    </row>
    <row r="35" spans="1:14" ht="37.799999999999997">
      <c r="A35" s="11"/>
      <c r="B35" s="114"/>
      <c r="C35" s="48" t="str">
        <f>master!C16</f>
        <v>2.4.データを結合して取得（Join）</v>
      </c>
      <c r="D35" s="118" t="s">
        <v>110</v>
      </c>
      <c r="E35" s="119"/>
      <c r="F35" s="120"/>
      <c r="G35" s="48" t="s">
        <v>42</v>
      </c>
      <c r="H35" s="12"/>
      <c r="I35" s="46" t="s">
        <v>24</v>
      </c>
      <c r="J35" s="44">
        <v>2.0833333333333333E-3</v>
      </c>
      <c r="K35" s="40"/>
      <c r="L35" s="6"/>
      <c r="M35" s="6"/>
      <c r="N35" s="6"/>
    </row>
    <row r="36" spans="1:14" ht="88.2">
      <c r="A36" s="11"/>
      <c r="B36" s="112" t="str">
        <f>master!B17</f>
        <v>Java言語、Springフレームワークとは</v>
      </c>
      <c r="C36" s="48" t="str">
        <f>master!C17</f>
        <v>Webアプリケーションを作成するためのプログラミング言語</v>
      </c>
      <c r="D36" s="118" t="s">
        <v>111</v>
      </c>
      <c r="E36" s="119"/>
      <c r="F36" s="120"/>
      <c r="G36" s="48" t="s">
        <v>46</v>
      </c>
      <c r="H36" s="12"/>
      <c r="I36" s="46" t="s">
        <v>24</v>
      </c>
      <c r="J36" s="44">
        <v>2.0833333333333333E-3</v>
      </c>
      <c r="K36" s="40"/>
      <c r="L36" s="6"/>
      <c r="M36" s="6"/>
      <c r="N36" s="6"/>
    </row>
    <row r="37" spans="1:14" ht="75.599999999999994">
      <c r="A37" s="11"/>
      <c r="B37" s="113"/>
      <c r="C37" s="48" t="str">
        <f>master!C18</f>
        <v>Java</v>
      </c>
      <c r="D37" s="118" t="s">
        <v>112</v>
      </c>
      <c r="E37" s="119"/>
      <c r="F37" s="120"/>
      <c r="G37" s="48" t="s">
        <v>44</v>
      </c>
      <c r="H37" s="12"/>
      <c r="I37" s="46" t="s">
        <v>24</v>
      </c>
      <c r="J37" s="44">
        <v>3.472222222222222E-3</v>
      </c>
      <c r="K37" s="40"/>
      <c r="L37" s="6"/>
      <c r="M37" s="6"/>
      <c r="N37" s="6"/>
    </row>
    <row r="38" spans="1:14" ht="75.599999999999994">
      <c r="A38" s="11"/>
      <c r="B38" s="113"/>
      <c r="C38" s="48" t="str">
        <f>master!C19</f>
        <v>Java言語の構成要素</v>
      </c>
      <c r="D38" s="118" t="s">
        <v>113</v>
      </c>
      <c r="E38" s="119"/>
      <c r="F38" s="120"/>
      <c r="G38" s="48" t="s">
        <v>44</v>
      </c>
      <c r="H38" s="12"/>
      <c r="I38" s="46" t="s">
        <v>24</v>
      </c>
      <c r="J38" s="44">
        <v>2.0833333333333333E-3</v>
      </c>
      <c r="K38" s="40"/>
      <c r="L38" s="6"/>
      <c r="M38" s="6"/>
      <c r="N38" s="6"/>
    </row>
    <row r="39" spans="1:14" ht="50.4">
      <c r="A39" s="11"/>
      <c r="B39" s="113"/>
      <c r="C39" s="48" t="str">
        <f>master!C20</f>
        <v>Webアプリケーションを構成するクラス</v>
      </c>
      <c r="D39" s="118" t="s">
        <v>114</v>
      </c>
      <c r="E39" s="119"/>
      <c r="F39" s="120"/>
      <c r="G39" s="48" t="s">
        <v>43</v>
      </c>
      <c r="H39" s="12"/>
      <c r="I39" s="46" t="s">
        <v>24</v>
      </c>
      <c r="J39" s="44">
        <v>3.472222222222222E-3</v>
      </c>
      <c r="K39" s="40"/>
      <c r="L39" s="6"/>
      <c r="M39" s="6"/>
      <c r="N39" s="6"/>
    </row>
    <row r="40" spans="1:14" ht="88.2">
      <c r="A40" s="11"/>
      <c r="B40" s="113"/>
      <c r="C40" s="48" t="str">
        <f>master!C21</f>
        <v>Nレイヤーアーキテクチャ</v>
      </c>
      <c r="D40" s="118" t="s">
        <v>116</v>
      </c>
      <c r="E40" s="119"/>
      <c r="F40" s="120"/>
      <c r="G40" s="48" t="s">
        <v>46</v>
      </c>
      <c r="H40" s="12"/>
      <c r="I40" s="46" t="s">
        <v>24</v>
      </c>
      <c r="J40" s="44">
        <v>3.472222222222222E-3</v>
      </c>
      <c r="K40" s="40" t="s">
        <v>115</v>
      </c>
      <c r="L40" s="6"/>
      <c r="M40" s="6"/>
      <c r="N40" s="6"/>
    </row>
    <row r="41" spans="1:14" ht="201.6">
      <c r="A41" s="11"/>
      <c r="B41" s="113"/>
      <c r="C41" s="48" t="str">
        <f>master!C22</f>
        <v>View と Controller と Service と Repository</v>
      </c>
      <c r="D41" s="118" t="s">
        <v>117</v>
      </c>
      <c r="E41" s="119"/>
      <c r="F41" s="120"/>
      <c r="G41" s="48" t="s">
        <v>118</v>
      </c>
      <c r="H41" s="12"/>
      <c r="I41" s="46" t="s">
        <v>49</v>
      </c>
      <c r="J41" s="44">
        <v>3.472222222222222E-3</v>
      </c>
      <c r="K41" s="40"/>
      <c r="L41" s="6"/>
      <c r="M41" s="6"/>
      <c r="N41" s="6"/>
    </row>
    <row r="42" spans="1:14" ht="37.799999999999997">
      <c r="A42" s="11"/>
      <c r="B42" s="113"/>
      <c r="C42" s="48" t="str">
        <f>master!C23</f>
        <v>Nレイヤーアーキテクチャ</v>
      </c>
      <c r="D42" s="118" t="s">
        <v>119</v>
      </c>
      <c r="E42" s="119"/>
      <c r="F42" s="120"/>
      <c r="G42" s="48" t="s">
        <v>42</v>
      </c>
      <c r="H42" s="12"/>
      <c r="I42" s="46" t="s">
        <v>24</v>
      </c>
      <c r="J42" s="44">
        <v>2.0833333333333333E-3</v>
      </c>
      <c r="K42" s="40"/>
      <c r="L42" s="6"/>
      <c r="M42" s="6"/>
      <c r="N42" s="6"/>
    </row>
    <row r="43" spans="1:14" ht="163.80000000000001">
      <c r="A43" s="11"/>
      <c r="B43" s="113"/>
      <c r="C43" s="48" t="str">
        <f>master!C24</f>
        <v>Webアプリケーション フレームワーク</v>
      </c>
      <c r="D43" s="118" t="s">
        <v>120</v>
      </c>
      <c r="E43" s="119"/>
      <c r="F43" s="120"/>
      <c r="G43" s="48" t="s">
        <v>121</v>
      </c>
      <c r="H43" s="12"/>
      <c r="I43" s="46" t="s">
        <v>24</v>
      </c>
      <c r="J43" s="44">
        <v>3.472222222222222E-3</v>
      </c>
      <c r="K43" s="40"/>
      <c r="L43" s="6"/>
      <c r="M43" s="6"/>
      <c r="N43" s="6"/>
    </row>
    <row r="44" spans="1:14" ht="25.2">
      <c r="A44" s="11"/>
      <c r="B44" s="113"/>
      <c r="C44" s="48" t="str">
        <f>master!C25</f>
        <v>Java向けWebアプリケーションフレームワーク</v>
      </c>
      <c r="D44" s="118" t="s">
        <v>122</v>
      </c>
      <c r="E44" s="119"/>
      <c r="F44" s="120"/>
      <c r="G44" s="48" t="s">
        <v>47</v>
      </c>
      <c r="H44" s="12"/>
      <c r="I44" s="46" t="s">
        <v>24</v>
      </c>
      <c r="J44" s="44">
        <v>6.9444444444444447E-4</v>
      </c>
      <c r="K44" s="40"/>
      <c r="L44" s="6"/>
      <c r="M44" s="6"/>
      <c r="N44" s="6"/>
    </row>
    <row r="45" spans="1:14" ht="189">
      <c r="A45" s="11"/>
      <c r="B45" s="113"/>
      <c r="C45" s="48" t="str">
        <f>master!C26</f>
        <v>Springフレームワーク</v>
      </c>
      <c r="D45" s="118" t="s">
        <v>123</v>
      </c>
      <c r="E45" s="119"/>
      <c r="F45" s="120"/>
      <c r="G45" s="48" t="s">
        <v>124</v>
      </c>
      <c r="H45" s="12"/>
      <c r="I45" s="46" t="s">
        <v>24</v>
      </c>
      <c r="J45" s="44">
        <v>3.472222222222222E-3</v>
      </c>
      <c r="K45" s="40"/>
      <c r="L45" s="6"/>
      <c r="M45" s="6"/>
      <c r="N45" s="6"/>
    </row>
    <row r="46" spans="1:14" ht="88.2">
      <c r="A46" s="11"/>
      <c r="B46" s="113"/>
      <c r="C46" s="48" t="str">
        <f>master!C27</f>
        <v>Springフレームワーク：DIコンテナとは</v>
      </c>
      <c r="D46" s="118" t="s">
        <v>125</v>
      </c>
      <c r="E46" s="119"/>
      <c r="F46" s="120"/>
      <c r="G46" s="48" t="s">
        <v>46</v>
      </c>
      <c r="H46" s="12"/>
      <c r="I46" s="46" t="s">
        <v>24</v>
      </c>
      <c r="J46" s="44">
        <v>3.472222222222222E-3</v>
      </c>
      <c r="K46" s="40" t="s">
        <v>115</v>
      </c>
      <c r="L46" s="6"/>
      <c r="M46" s="6"/>
      <c r="N46" s="6"/>
    </row>
    <row r="47" spans="1:14" ht="63">
      <c r="A47" s="11"/>
      <c r="B47" s="113"/>
      <c r="C47" s="48" t="str">
        <f>master!C28</f>
        <v>DIコンテナ：DIコンテナが部品を注入する</v>
      </c>
      <c r="D47" s="118" t="s">
        <v>126</v>
      </c>
      <c r="E47" s="119"/>
      <c r="F47" s="120"/>
      <c r="G47" s="48" t="s">
        <v>41</v>
      </c>
      <c r="H47" s="12"/>
      <c r="I47" s="46" t="s">
        <v>24</v>
      </c>
      <c r="J47" s="44">
        <v>2.0833333333333333E-3</v>
      </c>
      <c r="K47" s="40"/>
      <c r="L47" s="6"/>
      <c r="M47" s="6"/>
      <c r="N47" s="6"/>
    </row>
    <row r="48" spans="1:14" ht="100.8">
      <c r="A48" s="11"/>
      <c r="B48" s="113"/>
      <c r="C48" s="48" t="str">
        <f>master!C29</f>
        <v>DIコンテナ：DIコンテナによる部品と注入対象になるための目印</v>
      </c>
      <c r="D48" s="118" t="s">
        <v>127</v>
      </c>
      <c r="E48" s="119"/>
      <c r="F48" s="120"/>
      <c r="G48" s="48" t="s">
        <v>48</v>
      </c>
      <c r="H48" s="12"/>
      <c r="I48" s="46" t="s">
        <v>24</v>
      </c>
      <c r="J48" s="44">
        <v>2.0833333333333333E-3</v>
      </c>
      <c r="K48" s="40"/>
      <c r="L48" s="6"/>
      <c r="M48" s="6"/>
      <c r="N48" s="6"/>
    </row>
    <row r="49" spans="1:14" ht="100.8">
      <c r="A49" s="11"/>
      <c r="B49" s="113"/>
      <c r="C49" s="48" t="str">
        <f>master!C30</f>
        <v>Springフレームワークにおける部品の設定</v>
      </c>
      <c r="D49" s="118" t="s">
        <v>128</v>
      </c>
      <c r="E49" s="119"/>
      <c r="F49" s="120"/>
      <c r="G49" s="48" t="s">
        <v>48</v>
      </c>
      <c r="H49" s="12"/>
      <c r="I49" s="46" t="s">
        <v>24</v>
      </c>
      <c r="J49" s="44">
        <v>2.0833333333333333E-3</v>
      </c>
      <c r="K49" s="40"/>
      <c r="L49" s="6"/>
      <c r="M49" s="6"/>
      <c r="N49" s="6"/>
    </row>
    <row r="50" spans="1:14" ht="88.2">
      <c r="A50" s="11"/>
      <c r="B50" s="113"/>
      <c r="C50" s="48" t="str">
        <f>master!C31</f>
        <v>Spring Boot</v>
      </c>
      <c r="D50" s="118" t="s">
        <v>129</v>
      </c>
      <c r="E50" s="119"/>
      <c r="F50" s="120"/>
      <c r="G50" s="48" t="s">
        <v>46</v>
      </c>
      <c r="H50" s="12"/>
      <c r="I50" s="46" t="s">
        <v>24</v>
      </c>
      <c r="J50" s="44">
        <v>2.0833333333333333E-3</v>
      </c>
      <c r="K50" s="40"/>
      <c r="L50" s="6"/>
      <c r="M50" s="6"/>
      <c r="N50" s="6"/>
    </row>
    <row r="51" spans="1:14" ht="63">
      <c r="A51" s="11"/>
      <c r="B51" s="113"/>
      <c r="C51" s="48" t="str">
        <f>master!C32</f>
        <v>Spring Boot：オートコンフィグレーション</v>
      </c>
      <c r="D51" s="118" t="s">
        <v>130</v>
      </c>
      <c r="E51" s="119"/>
      <c r="F51" s="120"/>
      <c r="G51" s="48" t="s">
        <v>41</v>
      </c>
      <c r="H51" s="12"/>
      <c r="I51" s="46" t="s">
        <v>24</v>
      </c>
      <c r="J51" s="44">
        <v>2.0833333333333333E-3</v>
      </c>
      <c r="K51" s="40"/>
      <c r="L51" s="6"/>
      <c r="M51" s="6"/>
      <c r="N51" s="6"/>
    </row>
    <row r="52" spans="1:14" ht="50.4">
      <c r="A52" s="11"/>
      <c r="B52" s="113"/>
      <c r="C52" s="48" t="str">
        <f>master!C33</f>
        <v>Spring Boot：Starters</v>
      </c>
      <c r="D52" s="118" t="s">
        <v>131</v>
      </c>
      <c r="E52" s="119"/>
      <c r="F52" s="120"/>
      <c r="G52" s="48" t="s">
        <v>43</v>
      </c>
      <c r="H52" s="12"/>
      <c r="I52" s="46" t="s">
        <v>24</v>
      </c>
      <c r="J52" s="44">
        <v>1.3888888888888889E-3</v>
      </c>
      <c r="K52" s="40"/>
      <c r="L52" s="6"/>
      <c r="M52" s="6"/>
      <c r="N52" s="6"/>
    </row>
    <row r="53" spans="1:14" ht="88.2">
      <c r="A53" s="11"/>
      <c r="B53" s="113"/>
      <c r="C53" s="48" t="str">
        <f>master!C34</f>
        <v>Spring Boot：組込みWebAPサーバ</v>
      </c>
      <c r="D53" s="118" t="s">
        <v>132</v>
      </c>
      <c r="E53" s="119"/>
      <c r="F53" s="120"/>
      <c r="G53" s="48" t="s">
        <v>46</v>
      </c>
      <c r="H53" s="12"/>
      <c r="I53" s="46" t="s">
        <v>24</v>
      </c>
      <c r="J53" s="44">
        <v>1.3888888888888889E-3</v>
      </c>
      <c r="K53" s="40"/>
      <c r="L53" s="6"/>
      <c r="M53" s="6"/>
      <c r="N53" s="6"/>
    </row>
    <row r="54" spans="1:14" ht="25.2">
      <c r="A54" s="11"/>
      <c r="B54" s="114"/>
      <c r="C54" s="48" t="str">
        <f>master!C35</f>
        <v>おすすめ書籍：『プロになるためのSpring入門』</v>
      </c>
      <c r="D54" s="118"/>
      <c r="E54" s="119"/>
      <c r="F54" s="120"/>
      <c r="G54" s="48" t="s">
        <v>47</v>
      </c>
      <c r="H54" s="12"/>
      <c r="I54" s="46" t="s">
        <v>24</v>
      </c>
      <c r="J54" s="44">
        <v>6.9444444444444447E-4</v>
      </c>
      <c r="K54" s="40"/>
      <c r="L54" s="6"/>
      <c r="M54" s="6"/>
      <c r="N54" s="6"/>
    </row>
    <row r="55" spans="1:14" ht="37.799999999999997">
      <c r="A55" s="11"/>
      <c r="B55" s="115" t="str">
        <f>master!B37</f>
        <v>課題1の導入</v>
      </c>
      <c r="C55" s="58" t="str">
        <f>master!C37</f>
        <v>演習課題の概要</v>
      </c>
      <c r="D55" s="109" t="s">
        <v>165</v>
      </c>
      <c r="E55" s="110"/>
      <c r="F55" s="111"/>
      <c r="G55" s="58" t="s">
        <v>286</v>
      </c>
      <c r="H55" s="59"/>
      <c r="I55" s="60" t="s">
        <v>24</v>
      </c>
      <c r="J55" s="61">
        <v>6.9444444444444447E-4</v>
      </c>
      <c r="K55" s="62"/>
      <c r="L55" s="6"/>
      <c r="M55" s="6"/>
      <c r="N55" s="6"/>
    </row>
    <row r="56" spans="1:14" ht="37.799999999999997">
      <c r="A56" s="11"/>
      <c r="B56" s="116"/>
      <c r="C56" s="58" t="str">
        <f>master!C38</f>
        <v>作成物</v>
      </c>
      <c r="D56" s="109" t="s">
        <v>166</v>
      </c>
      <c r="E56" s="110"/>
      <c r="F56" s="111"/>
      <c r="G56" s="58" t="s">
        <v>286</v>
      </c>
      <c r="H56" s="59"/>
      <c r="I56" s="60" t="s">
        <v>24</v>
      </c>
      <c r="J56" s="61">
        <v>6.9444444444444447E-4</v>
      </c>
      <c r="K56" s="62"/>
      <c r="L56" s="6"/>
      <c r="M56" s="6"/>
      <c r="N56" s="6"/>
    </row>
    <row r="57" spans="1:14" ht="75.599999999999994">
      <c r="A57" s="11"/>
      <c r="B57" s="117"/>
      <c r="C57" s="58" t="str">
        <f>master!C39</f>
        <v>演習課題の進め方</v>
      </c>
      <c r="D57" s="109" t="s">
        <v>167</v>
      </c>
      <c r="E57" s="110"/>
      <c r="F57" s="111"/>
      <c r="G57" s="58" t="s">
        <v>287</v>
      </c>
      <c r="H57" s="59"/>
      <c r="I57" s="60" t="s">
        <v>24</v>
      </c>
      <c r="J57" s="61">
        <v>1.3888888888888888E-2</v>
      </c>
      <c r="K57" s="62"/>
      <c r="L57" s="6"/>
      <c r="M57" s="6"/>
      <c r="N57" s="6"/>
    </row>
    <row r="58" spans="1:14" ht="15" customHeight="1">
      <c r="A58" s="11"/>
      <c r="B58" s="115" t="str">
        <f>master!B40</f>
        <v>Spring Bootプロジェクトの_x000B_準備、起動確認</v>
      </c>
      <c r="C58" s="58" t="str">
        <f>master!C40</f>
        <v>前提条件</v>
      </c>
      <c r="D58" s="109"/>
      <c r="E58" s="110"/>
      <c r="F58" s="111"/>
      <c r="G58" s="58" t="s">
        <v>288</v>
      </c>
      <c r="H58" s="59"/>
      <c r="I58" s="60" t="s">
        <v>24</v>
      </c>
      <c r="J58" s="61">
        <v>6.9444444444444447E-4</v>
      </c>
      <c r="K58" s="62"/>
      <c r="L58" s="6"/>
      <c r="M58" s="6"/>
      <c r="N58" s="6"/>
    </row>
    <row r="59" spans="1:14" ht="37.799999999999997">
      <c r="A59" s="11"/>
      <c r="B59" s="116"/>
      <c r="C59" s="58" t="str">
        <f>master!C41</f>
        <v>Spring Bootプロジェクトの準備</v>
      </c>
      <c r="D59" s="109" t="s">
        <v>168</v>
      </c>
      <c r="E59" s="110"/>
      <c r="F59" s="111"/>
      <c r="G59" s="58" t="s">
        <v>286</v>
      </c>
      <c r="H59" s="59"/>
      <c r="I59" s="60" t="s">
        <v>24</v>
      </c>
      <c r="J59" s="61">
        <v>6.9444444444444441E-3</v>
      </c>
      <c r="K59" s="62"/>
      <c r="L59" s="6"/>
      <c r="M59" s="6"/>
      <c r="N59" s="6"/>
    </row>
    <row r="60" spans="1:14" ht="25.2">
      <c r="A60" s="11"/>
      <c r="B60" s="116"/>
      <c r="C60" s="58" t="str">
        <f>master!C42</f>
        <v>（補足）Spring Bootプロジェクトの準備</v>
      </c>
      <c r="D60" s="109" t="s">
        <v>169</v>
      </c>
      <c r="E60" s="110"/>
      <c r="F60" s="111"/>
      <c r="G60" s="58" t="s">
        <v>289</v>
      </c>
      <c r="H60" s="59"/>
      <c r="I60" s="60" t="s">
        <v>49</v>
      </c>
      <c r="J60" s="61">
        <v>0</v>
      </c>
      <c r="K60" s="62"/>
      <c r="L60" s="6"/>
      <c r="M60" s="6"/>
      <c r="N60" s="6"/>
    </row>
    <row r="61" spans="1:14" ht="88.2">
      <c r="A61" s="11"/>
      <c r="B61" s="117"/>
      <c r="C61" s="58" t="str">
        <f>master!C43</f>
        <v>Spring Bootアプリケーションの起動確認</v>
      </c>
      <c r="D61" s="109" t="s">
        <v>191</v>
      </c>
      <c r="E61" s="110"/>
      <c r="F61" s="111"/>
      <c r="G61" s="58" t="s">
        <v>290</v>
      </c>
      <c r="H61" s="59"/>
      <c r="I61" s="60" t="s">
        <v>49</v>
      </c>
      <c r="J61" s="61">
        <v>6.9444444444444441E-3</v>
      </c>
      <c r="K61" s="62"/>
      <c r="L61" s="6"/>
      <c r="M61" s="6"/>
      <c r="N61" s="6"/>
    </row>
    <row r="62" spans="1:14" ht="190.2" customHeight="1">
      <c r="A62" s="11"/>
      <c r="B62" s="115" t="str">
        <f>master!B44</f>
        <v>ECサイト Webアプリの要件</v>
      </c>
      <c r="C62" s="58" t="str">
        <f>master!C44</f>
        <v>ECサイト Webアプリの要件 – はじめに</v>
      </c>
      <c r="D62" s="109" t="s">
        <v>170</v>
      </c>
      <c r="E62" s="110"/>
      <c r="F62" s="111"/>
      <c r="G62" s="58" t="s">
        <v>291</v>
      </c>
      <c r="H62" s="59"/>
      <c r="I62" s="60" t="s">
        <v>24</v>
      </c>
      <c r="J62" s="61">
        <v>6.9444444444444447E-4</v>
      </c>
      <c r="K62" s="62"/>
      <c r="L62" s="6"/>
      <c r="M62" s="6"/>
      <c r="N62" s="6"/>
    </row>
    <row r="63" spans="1:14" ht="151.19999999999999">
      <c r="A63" s="11"/>
      <c r="B63" s="116"/>
      <c r="C63" s="58" t="str">
        <f>master!C45</f>
        <v>ECサイト Webアプリの要件➊ 画面</v>
      </c>
      <c r="D63" s="109" t="s">
        <v>172</v>
      </c>
      <c r="E63" s="110"/>
      <c r="F63" s="111"/>
      <c r="G63" s="58" t="s">
        <v>292</v>
      </c>
      <c r="H63" s="59"/>
      <c r="I63" s="60" t="s">
        <v>24</v>
      </c>
      <c r="J63" s="61">
        <v>6.9444444444444447E-4</v>
      </c>
      <c r="K63" s="62"/>
      <c r="L63" s="6"/>
      <c r="M63" s="6"/>
      <c r="N63" s="6"/>
    </row>
    <row r="64" spans="1:14" ht="214.2">
      <c r="A64" s="11"/>
      <c r="B64" s="116"/>
      <c r="C64" s="58" t="str">
        <f>master!C46</f>
        <v>ECサイト Webアプリの要件➋ 機能</v>
      </c>
      <c r="D64" s="109" t="s">
        <v>173</v>
      </c>
      <c r="E64" s="110"/>
      <c r="F64" s="111"/>
      <c r="G64" s="58" t="s">
        <v>293</v>
      </c>
      <c r="H64" s="59"/>
      <c r="I64" s="60" t="s">
        <v>24</v>
      </c>
      <c r="J64" s="61">
        <v>6.9444444444444447E-4</v>
      </c>
      <c r="K64" s="62"/>
      <c r="L64" s="6"/>
      <c r="M64" s="6"/>
      <c r="N64" s="6"/>
    </row>
    <row r="65" spans="1:14" ht="63">
      <c r="A65" s="11"/>
      <c r="B65" s="116"/>
      <c r="C65" s="58" t="str">
        <f>master!C47</f>
        <v>ECサイト Webアプリの要件➌ 画面遷移</v>
      </c>
      <c r="D65" s="109" t="s">
        <v>174</v>
      </c>
      <c r="E65" s="110"/>
      <c r="F65" s="111"/>
      <c r="G65" s="58" t="s">
        <v>294</v>
      </c>
      <c r="H65" s="59"/>
      <c r="I65" s="60" t="s">
        <v>24</v>
      </c>
      <c r="J65" s="61">
        <v>1.3888888888888889E-3</v>
      </c>
      <c r="K65" s="62"/>
      <c r="L65" s="6"/>
      <c r="M65" s="6"/>
      <c r="N65" s="6"/>
    </row>
    <row r="66" spans="1:14" ht="163.80000000000001">
      <c r="A66" s="11"/>
      <c r="B66" s="116"/>
      <c r="C66" s="58" t="str">
        <f>master!C48</f>
        <v>ECサイト Webアプリの要件❹ データ設計</v>
      </c>
      <c r="D66" s="109" t="s">
        <v>176</v>
      </c>
      <c r="E66" s="110"/>
      <c r="F66" s="111"/>
      <c r="G66" s="58" t="s">
        <v>295</v>
      </c>
      <c r="H66" s="59"/>
      <c r="I66" s="60" t="s">
        <v>24</v>
      </c>
      <c r="J66" s="61">
        <v>2.0833333333333333E-3</v>
      </c>
      <c r="K66" s="62"/>
      <c r="L66" s="6"/>
      <c r="M66" s="6"/>
      <c r="N66" s="6"/>
    </row>
    <row r="67" spans="1:14" ht="50.4">
      <c r="A67" s="11"/>
      <c r="B67" s="116"/>
      <c r="C67" s="58" t="str">
        <f>master!C49</f>
        <v>ECサイト Webアプリの要件❺ 初期データ</v>
      </c>
      <c r="D67" s="109" t="s">
        <v>177</v>
      </c>
      <c r="E67" s="110"/>
      <c r="F67" s="111"/>
      <c r="G67" s="58" t="s">
        <v>291</v>
      </c>
      <c r="H67" s="59"/>
      <c r="I67" s="60" t="s">
        <v>24</v>
      </c>
      <c r="J67" s="61">
        <v>6.9444444444444447E-4</v>
      </c>
      <c r="K67" s="62"/>
      <c r="L67" s="6"/>
      <c r="M67" s="6"/>
      <c r="N67" s="6"/>
    </row>
    <row r="68" spans="1:14" ht="37.799999999999997">
      <c r="A68" s="11"/>
      <c r="B68" s="116"/>
      <c r="C68" s="58" t="str">
        <f>master!C50</f>
        <v>ECサイト Webアプリの要件❻ ディレクトリ構成</v>
      </c>
      <c r="D68" s="109" t="s">
        <v>178</v>
      </c>
      <c r="E68" s="110"/>
      <c r="F68" s="111"/>
      <c r="G68" s="58" t="s">
        <v>286</v>
      </c>
      <c r="H68" s="59"/>
      <c r="I68" s="60" t="s">
        <v>24</v>
      </c>
      <c r="J68" s="61">
        <v>1.0416666666666666E-2</v>
      </c>
      <c r="K68" s="62"/>
      <c r="L68" s="6"/>
      <c r="M68" s="6"/>
      <c r="N68" s="6"/>
    </row>
    <row r="69" spans="1:14" ht="37.799999999999997">
      <c r="A69" s="11"/>
      <c r="B69" s="116"/>
      <c r="C69" s="58" t="str">
        <f>master!C51</f>
        <v>ECサイト Webアプリの要件❼ パッケージ構成</v>
      </c>
      <c r="D69" s="109" t="s">
        <v>180</v>
      </c>
      <c r="E69" s="110"/>
      <c r="F69" s="111"/>
      <c r="G69" s="58" t="s">
        <v>286</v>
      </c>
      <c r="H69" s="59"/>
      <c r="I69" s="60" t="s">
        <v>24</v>
      </c>
      <c r="J69" s="61">
        <v>3.472222222222222E-3</v>
      </c>
      <c r="K69" s="62"/>
      <c r="L69" s="6"/>
      <c r="M69" s="6"/>
      <c r="N69" s="6"/>
    </row>
    <row r="70" spans="1:14" ht="37.799999999999997">
      <c r="A70" s="11"/>
      <c r="B70" s="117"/>
      <c r="C70" s="58" t="str">
        <f>master!C52</f>
        <v>ECサイト Webアプリの要件❽ リソース構成</v>
      </c>
      <c r="D70" s="109" t="s">
        <v>179</v>
      </c>
      <c r="E70" s="110"/>
      <c r="F70" s="111"/>
      <c r="G70" s="58" t="s">
        <v>286</v>
      </c>
      <c r="H70" s="59"/>
      <c r="I70" s="60" t="s">
        <v>24</v>
      </c>
      <c r="J70" s="61">
        <v>6.9444444444444447E-4</v>
      </c>
      <c r="K70" s="62"/>
      <c r="L70" s="6"/>
      <c r="M70" s="6"/>
      <c r="N70" s="6"/>
    </row>
    <row r="71" spans="1:14" ht="25.2">
      <c r="A71" s="11"/>
      <c r="B71" s="115" t="str">
        <f>master!B53</f>
        <v>ハンズオン</v>
      </c>
      <c r="C71" s="58" t="str">
        <f>master!C53</f>
        <v>バイブコーディング – はじめに</v>
      </c>
      <c r="D71" s="109" t="s">
        <v>181</v>
      </c>
      <c r="E71" s="110"/>
      <c r="F71" s="111"/>
      <c r="G71" s="58" t="s">
        <v>289</v>
      </c>
      <c r="H71" s="59"/>
      <c r="I71" s="60" t="s">
        <v>24</v>
      </c>
      <c r="J71" s="61">
        <v>1.0416666666666666E-2</v>
      </c>
      <c r="K71" s="62"/>
      <c r="L71" s="6"/>
      <c r="M71" s="6"/>
      <c r="N71" s="6"/>
    </row>
    <row r="72" spans="1:14" ht="138.6">
      <c r="A72" s="11"/>
      <c r="B72" s="116"/>
      <c r="C72" s="58" t="str">
        <f>master!C54</f>
        <v>[構造理解] Webアプリケーションで必要なもの</v>
      </c>
      <c r="D72" s="109" t="s">
        <v>182</v>
      </c>
      <c r="E72" s="110"/>
      <c r="F72" s="111"/>
      <c r="G72" s="58" t="s">
        <v>296</v>
      </c>
      <c r="H72" s="59"/>
      <c r="I72" s="60" t="s">
        <v>24</v>
      </c>
      <c r="J72" s="61">
        <v>1.3888888888888889E-3</v>
      </c>
      <c r="K72" s="62"/>
      <c r="L72" s="6"/>
      <c r="M72" s="6"/>
      <c r="N72" s="6"/>
    </row>
    <row r="73" spans="1:14" ht="50.4">
      <c r="A73" s="11"/>
      <c r="B73" s="116"/>
      <c r="C73" s="76" t="str">
        <f>master!C55</f>
        <v>バイブコーディング➊ 画面モックアップを作ってデザインを決める</v>
      </c>
      <c r="D73" s="109" t="s">
        <v>192</v>
      </c>
      <c r="E73" s="110"/>
      <c r="F73" s="111"/>
      <c r="G73" s="58" t="s">
        <v>291</v>
      </c>
      <c r="H73" s="59"/>
      <c r="I73" s="60" t="s">
        <v>24</v>
      </c>
      <c r="J73" s="61">
        <v>1.3888888888888888E-2</v>
      </c>
      <c r="K73" s="62"/>
      <c r="L73" s="6"/>
      <c r="M73" s="6"/>
      <c r="N73" s="6"/>
    </row>
    <row r="74" spans="1:14" ht="88.2" customHeight="1">
      <c r="A74" s="11"/>
      <c r="B74" s="116"/>
      <c r="C74" s="77"/>
      <c r="D74" s="109" t="s">
        <v>183</v>
      </c>
      <c r="E74" s="110"/>
      <c r="F74" s="111"/>
      <c r="G74" s="58" t="s">
        <v>290</v>
      </c>
      <c r="H74" s="59"/>
      <c r="I74" s="60"/>
      <c r="J74" s="61"/>
      <c r="K74" s="62"/>
      <c r="L74" s="6"/>
      <c r="M74" s="6"/>
      <c r="N74" s="6"/>
    </row>
    <row r="75" spans="1:14" ht="50.4">
      <c r="A75" s="11"/>
      <c r="B75" s="116"/>
      <c r="C75" s="76" t="str">
        <f>master!C56</f>
        <v>バイブコーディング➋ データベースのテーブルを準備する</v>
      </c>
      <c r="D75" s="109" t="s">
        <v>196</v>
      </c>
      <c r="E75" s="110"/>
      <c r="F75" s="111"/>
      <c r="G75" s="58" t="s">
        <v>291</v>
      </c>
      <c r="H75" s="59"/>
      <c r="I75" s="60" t="s">
        <v>24</v>
      </c>
      <c r="J75" s="61">
        <v>1.3888888888888889E-3</v>
      </c>
      <c r="K75" s="62"/>
      <c r="L75" s="6"/>
      <c r="M75" s="6"/>
      <c r="N75" s="6"/>
    </row>
    <row r="76" spans="1:14" ht="88.2">
      <c r="A76" s="11"/>
      <c r="B76" s="116"/>
      <c r="C76" s="77"/>
      <c r="D76" s="109" t="s">
        <v>183</v>
      </c>
      <c r="E76" s="110"/>
      <c r="F76" s="111"/>
      <c r="G76" s="58" t="s">
        <v>290</v>
      </c>
      <c r="H76" s="59"/>
      <c r="I76" s="60"/>
      <c r="J76" s="61"/>
      <c r="K76" s="62"/>
      <c r="L76" s="6"/>
      <c r="M76" s="6"/>
      <c r="N76" s="6"/>
    </row>
    <row r="77" spans="1:14" ht="50.4">
      <c r="A77" s="11"/>
      <c r="B77" s="116"/>
      <c r="C77" s="76" t="str">
        <f>master!C57</f>
        <v>バイブコーディング➌ データベースのデータを準備する</v>
      </c>
      <c r="D77" s="109" t="s">
        <v>195</v>
      </c>
      <c r="E77" s="110"/>
      <c r="F77" s="111"/>
      <c r="G77" s="58" t="s">
        <v>291</v>
      </c>
      <c r="H77" s="59"/>
      <c r="I77" s="60" t="s">
        <v>24</v>
      </c>
      <c r="J77" s="61">
        <v>1.3888888888888889E-3</v>
      </c>
      <c r="K77" s="62"/>
      <c r="L77" s="6"/>
      <c r="M77" s="6"/>
      <c r="N77" s="6"/>
    </row>
    <row r="78" spans="1:14" ht="88.2">
      <c r="A78" s="11"/>
      <c r="B78" s="116"/>
      <c r="C78" s="77"/>
      <c r="D78" s="109" t="s">
        <v>183</v>
      </c>
      <c r="E78" s="110"/>
      <c r="F78" s="111"/>
      <c r="G78" s="58" t="s">
        <v>290</v>
      </c>
      <c r="H78" s="59"/>
      <c r="I78" s="60"/>
      <c r="J78" s="61"/>
      <c r="K78" s="62"/>
      <c r="L78" s="6"/>
      <c r="M78" s="6"/>
      <c r="N78" s="6"/>
    </row>
    <row r="79" spans="1:14" ht="63">
      <c r="A79" s="11"/>
      <c r="B79" s="116"/>
      <c r="C79" s="76" t="str">
        <f>master!C58</f>
        <v>バイブコーディング❹ データベース処理とビジネスロジックを作る</v>
      </c>
      <c r="D79" s="109" t="s">
        <v>194</v>
      </c>
      <c r="E79" s="110"/>
      <c r="F79" s="111"/>
      <c r="G79" s="58" t="s">
        <v>294</v>
      </c>
      <c r="H79" s="59"/>
      <c r="I79" s="60" t="s">
        <v>24</v>
      </c>
      <c r="J79" s="61">
        <v>3.472222222222222E-3</v>
      </c>
      <c r="K79" s="62"/>
      <c r="L79" s="6"/>
      <c r="M79" s="6"/>
      <c r="N79" s="6"/>
    </row>
    <row r="80" spans="1:14" ht="88.2">
      <c r="A80" s="11"/>
      <c r="B80" s="116"/>
      <c r="C80" s="77"/>
      <c r="D80" s="109" t="s">
        <v>183</v>
      </c>
      <c r="E80" s="110"/>
      <c r="F80" s="111"/>
      <c r="G80" s="58" t="s">
        <v>290</v>
      </c>
      <c r="H80" s="59"/>
      <c r="I80" s="60"/>
      <c r="J80" s="61"/>
      <c r="K80" s="62"/>
      <c r="L80" s="6"/>
      <c r="M80" s="6"/>
      <c r="N80" s="6"/>
    </row>
    <row r="81" spans="1:14" ht="50.4">
      <c r="A81" s="11"/>
      <c r="B81" s="116"/>
      <c r="C81" s="58" t="str">
        <f>master!C59</f>
        <v>[解説] RepositoryクラスとSQLの例（抜粋）</v>
      </c>
      <c r="D81" s="109" t="s">
        <v>184</v>
      </c>
      <c r="E81" s="110"/>
      <c r="F81" s="111"/>
      <c r="G81" s="58" t="s">
        <v>291</v>
      </c>
      <c r="H81" s="59"/>
      <c r="I81" s="60" t="s">
        <v>24</v>
      </c>
      <c r="J81" s="61">
        <v>2.0833333333333333E-3</v>
      </c>
      <c r="K81" s="62"/>
      <c r="L81" s="6"/>
      <c r="M81" s="6"/>
      <c r="N81" s="6"/>
    </row>
    <row r="82" spans="1:14" ht="50.4">
      <c r="A82" s="11"/>
      <c r="B82" s="116"/>
      <c r="C82" s="58" t="str">
        <f>master!C60</f>
        <v>[解説] Entity/Modelクラスの例（抜粋）</v>
      </c>
      <c r="D82" s="109" t="s">
        <v>185</v>
      </c>
      <c r="E82" s="110"/>
      <c r="F82" s="111"/>
      <c r="G82" s="58" t="s">
        <v>291</v>
      </c>
      <c r="H82" s="59"/>
      <c r="I82" s="60" t="s">
        <v>24</v>
      </c>
      <c r="J82" s="61">
        <v>1.3888888888888889E-3</v>
      </c>
      <c r="K82" s="62"/>
      <c r="L82" s="6"/>
      <c r="M82" s="6"/>
      <c r="N82" s="6"/>
    </row>
    <row r="83" spans="1:14" ht="37.799999999999997">
      <c r="A83" s="11"/>
      <c r="B83" s="116"/>
      <c r="C83" s="58" t="str">
        <f>master!C61</f>
        <v>[解説] Serviceクラスの例（抜粋）</v>
      </c>
      <c r="D83" s="109" t="s">
        <v>186</v>
      </c>
      <c r="E83" s="110"/>
      <c r="F83" s="111"/>
      <c r="G83" s="58" t="s">
        <v>286</v>
      </c>
      <c r="H83" s="59"/>
      <c r="I83" s="60" t="s">
        <v>24</v>
      </c>
      <c r="J83" s="61">
        <v>6.9444444444444447E-4</v>
      </c>
      <c r="K83" s="62"/>
      <c r="L83" s="6"/>
      <c r="M83" s="6"/>
      <c r="N83" s="6"/>
    </row>
    <row r="84" spans="1:14" ht="50.4">
      <c r="A84" s="11"/>
      <c r="B84" s="116"/>
      <c r="C84" s="76" t="str">
        <f>master!C62</f>
        <v>バイブコーディング❺ モックアップをもとに画面表示/処理を作る</v>
      </c>
      <c r="D84" s="109" t="s">
        <v>193</v>
      </c>
      <c r="E84" s="110"/>
      <c r="F84" s="111"/>
      <c r="G84" s="58" t="s">
        <v>291</v>
      </c>
      <c r="H84" s="59"/>
      <c r="I84" s="60" t="s">
        <v>24</v>
      </c>
      <c r="J84" s="61">
        <v>6.9444444444444441E-3</v>
      </c>
      <c r="K84" s="62"/>
      <c r="L84" s="6"/>
      <c r="M84" s="6"/>
      <c r="N84" s="6"/>
    </row>
    <row r="85" spans="1:14" ht="88.2">
      <c r="A85" s="11"/>
      <c r="B85" s="116"/>
      <c r="C85" s="77"/>
      <c r="D85" s="109" t="s">
        <v>183</v>
      </c>
      <c r="E85" s="110"/>
      <c r="F85" s="111"/>
      <c r="G85" s="58" t="s">
        <v>290</v>
      </c>
      <c r="H85" s="59"/>
      <c r="I85" s="60"/>
      <c r="J85" s="61"/>
      <c r="K85" s="62"/>
      <c r="L85" s="6"/>
      <c r="M85" s="6"/>
      <c r="N85" s="6"/>
    </row>
    <row r="86" spans="1:14" ht="37.799999999999997">
      <c r="A86" s="11"/>
      <c r="B86" s="116"/>
      <c r="C86" s="58" t="str">
        <f>master!C63</f>
        <v>[解説] Controllerクラスの例（抜粋）</v>
      </c>
      <c r="D86" s="109" t="s">
        <v>187</v>
      </c>
      <c r="E86" s="110"/>
      <c r="F86" s="111"/>
      <c r="G86" s="58" t="s">
        <v>286</v>
      </c>
      <c r="H86" s="59"/>
      <c r="I86" s="60" t="s">
        <v>24</v>
      </c>
      <c r="J86" s="61">
        <v>1.3888888888888889E-3</v>
      </c>
      <c r="K86" s="62"/>
      <c r="L86" s="6"/>
      <c r="M86" s="6"/>
      <c r="N86" s="6"/>
    </row>
    <row r="87" spans="1:14" ht="37.799999999999997">
      <c r="A87" s="11"/>
      <c r="B87" s="116"/>
      <c r="C87" s="58" t="str">
        <f>master!C64</f>
        <v>[解説] Thymeleafテンプレートの例（抜粋）</v>
      </c>
      <c r="D87" s="109" t="s">
        <v>188</v>
      </c>
      <c r="E87" s="110"/>
      <c r="F87" s="111"/>
      <c r="G87" s="58" t="s">
        <v>286</v>
      </c>
      <c r="H87" s="59"/>
      <c r="I87" s="60" t="s">
        <v>24</v>
      </c>
      <c r="J87" s="61">
        <v>1.3888888888888889E-3</v>
      </c>
      <c r="K87" s="62"/>
      <c r="L87" s="6"/>
      <c r="M87" s="6"/>
      <c r="N87" s="6"/>
    </row>
    <row r="88" spans="1:14" ht="37.799999999999997">
      <c r="A88" s="11"/>
      <c r="B88" s="116"/>
      <c r="C88" s="58" t="str">
        <f>master!C65</f>
        <v>[解説] Formクラスの例（抜粋）</v>
      </c>
      <c r="D88" s="109" t="s">
        <v>189</v>
      </c>
      <c r="E88" s="110"/>
      <c r="F88" s="111"/>
      <c r="G88" s="58" t="s">
        <v>286</v>
      </c>
      <c r="H88" s="59"/>
      <c r="I88" s="60" t="s">
        <v>24</v>
      </c>
      <c r="J88" s="61">
        <v>6.9444444444444447E-4</v>
      </c>
      <c r="K88" s="62"/>
      <c r="L88" s="6"/>
      <c r="M88" s="6"/>
      <c r="N88" s="6"/>
    </row>
    <row r="89" spans="1:14" ht="75.599999999999994">
      <c r="A89" s="11"/>
      <c r="B89" s="116"/>
      <c r="C89" s="76" t="str">
        <f>master!C66</f>
        <v>バイブコーディング❻ 動作を確認する</v>
      </c>
      <c r="D89" s="109" t="s">
        <v>190</v>
      </c>
      <c r="E89" s="110"/>
      <c r="F89" s="111"/>
      <c r="G89" s="58" t="s">
        <v>287</v>
      </c>
      <c r="H89" s="59"/>
      <c r="I89" s="60" t="s">
        <v>24</v>
      </c>
      <c r="J89" s="61">
        <v>6.9444444444444447E-4</v>
      </c>
      <c r="K89" s="62"/>
      <c r="L89" s="6"/>
      <c r="M89" s="6"/>
      <c r="N89" s="6"/>
    </row>
    <row r="90" spans="1:14" ht="63">
      <c r="A90" s="11"/>
      <c r="B90" s="117"/>
      <c r="C90" s="77"/>
      <c r="D90" s="109" t="s">
        <v>197</v>
      </c>
      <c r="E90" s="110"/>
      <c r="F90" s="111"/>
      <c r="G90" s="58" t="s">
        <v>294</v>
      </c>
      <c r="H90" s="59"/>
      <c r="I90" s="60" t="s">
        <v>24</v>
      </c>
      <c r="J90" s="61">
        <v>6.9444444444444441E-3</v>
      </c>
      <c r="K90" s="62"/>
      <c r="L90" s="6"/>
      <c r="M90" s="6"/>
      <c r="N90" s="6"/>
    </row>
    <row r="91" spans="1:14" ht="50.4">
      <c r="A91" s="11"/>
      <c r="B91" s="112" t="str">
        <f>master!B69</f>
        <v>Gitとは</v>
      </c>
      <c r="C91" s="48" t="str">
        <f>master!C69</f>
        <v>はじめに</v>
      </c>
      <c r="D91" s="118" t="s">
        <v>399</v>
      </c>
      <c r="E91" s="119"/>
      <c r="F91" s="120"/>
      <c r="G91" s="48" t="s">
        <v>332</v>
      </c>
      <c r="H91" s="12"/>
      <c r="I91" s="46" t="s">
        <v>24</v>
      </c>
      <c r="J91" s="44">
        <v>1.3888888888888889E-3</v>
      </c>
      <c r="K91" s="89"/>
      <c r="L91" s="6"/>
      <c r="M91" s="6"/>
      <c r="N91" s="6"/>
    </row>
    <row r="92" spans="1:14" ht="37.799999999999997">
      <c r="A92" s="11"/>
      <c r="B92" s="113"/>
      <c r="C92" s="48" t="str">
        <f>master!C70</f>
        <v>バージョン管理とは</v>
      </c>
      <c r="D92" s="118" t="s">
        <v>374</v>
      </c>
      <c r="E92" s="119"/>
      <c r="F92" s="120"/>
      <c r="G92" s="48" t="s">
        <v>331</v>
      </c>
      <c r="H92" s="12"/>
      <c r="I92" s="46" t="s">
        <v>24</v>
      </c>
      <c r="J92" s="44">
        <v>2.0833333333333333E-3</v>
      </c>
      <c r="K92" s="89"/>
      <c r="L92" s="6"/>
      <c r="M92" s="6"/>
      <c r="N92" s="6"/>
    </row>
    <row r="93" spans="1:14" ht="151.19999999999999">
      <c r="A93" s="11"/>
      <c r="B93" s="114"/>
      <c r="C93" s="48" t="str">
        <f>master!C71</f>
        <v>Gitの概要</v>
      </c>
      <c r="D93" s="118" t="s">
        <v>375</v>
      </c>
      <c r="E93" s="119"/>
      <c r="F93" s="120"/>
      <c r="G93" s="48" t="s">
        <v>376</v>
      </c>
      <c r="H93" s="12"/>
      <c r="I93" s="46" t="s">
        <v>24</v>
      </c>
      <c r="J93" s="44">
        <v>2.0833333333333333E-3</v>
      </c>
      <c r="K93" s="89"/>
      <c r="L93" s="6"/>
      <c r="M93" s="6"/>
      <c r="N93" s="6"/>
    </row>
    <row r="94" spans="1:14" ht="75.599999999999994">
      <c r="A94" s="11"/>
      <c r="B94" s="112" t="str">
        <f>master!B72</f>
        <v>Gitの基本構成</v>
      </c>
      <c r="C94" s="48" t="str">
        <f>master!C72</f>
        <v>はじめに</v>
      </c>
      <c r="D94" s="118" t="s">
        <v>398</v>
      </c>
      <c r="E94" s="119"/>
      <c r="F94" s="120"/>
      <c r="G94" s="48" t="s">
        <v>377</v>
      </c>
      <c r="H94" s="12"/>
      <c r="I94" s="46" t="s">
        <v>24</v>
      </c>
      <c r="J94" s="44">
        <v>1.3888888888888889E-3</v>
      </c>
      <c r="K94" s="89"/>
      <c r="L94" s="6"/>
      <c r="M94" s="6"/>
      <c r="N94" s="6"/>
    </row>
    <row r="95" spans="1:14" ht="37.799999999999997">
      <c r="A95" s="11"/>
      <c r="B95" s="113"/>
      <c r="C95" s="48" t="str">
        <f>master!C73</f>
        <v>ワーキングツリー</v>
      </c>
      <c r="D95" s="118" t="s">
        <v>378</v>
      </c>
      <c r="E95" s="119"/>
      <c r="F95" s="120"/>
      <c r="G95" s="48" t="s">
        <v>331</v>
      </c>
      <c r="H95" s="12"/>
      <c r="I95" s="46" t="s">
        <v>24</v>
      </c>
      <c r="J95" s="44">
        <v>2.0833333333333333E-3</v>
      </c>
      <c r="K95" s="89"/>
      <c r="L95" s="6"/>
      <c r="M95" s="6"/>
      <c r="N95" s="6"/>
    </row>
    <row r="96" spans="1:14" ht="37.799999999999997">
      <c r="A96" s="11"/>
      <c r="B96" s="113"/>
      <c r="C96" s="48" t="str">
        <f>master!C74</f>
        <v>ステージングエリア</v>
      </c>
      <c r="D96" s="118" t="s">
        <v>379</v>
      </c>
      <c r="E96" s="119"/>
      <c r="F96" s="120"/>
      <c r="G96" s="48" t="s">
        <v>331</v>
      </c>
      <c r="H96" s="12"/>
      <c r="I96" s="46" t="s">
        <v>24</v>
      </c>
      <c r="J96" s="44">
        <v>2.0833333333333333E-3</v>
      </c>
      <c r="K96" s="89"/>
      <c r="L96" s="6"/>
      <c r="M96" s="6"/>
      <c r="N96" s="6"/>
    </row>
    <row r="97" spans="1:14" ht="37.799999999999997">
      <c r="A97" s="11"/>
      <c r="B97" s="113"/>
      <c r="C97" s="48" t="str">
        <f>master!C75</f>
        <v>ローカルリポジトリ</v>
      </c>
      <c r="D97" s="118" t="s">
        <v>380</v>
      </c>
      <c r="E97" s="119"/>
      <c r="F97" s="120"/>
      <c r="G97" s="48" t="s">
        <v>331</v>
      </c>
      <c r="H97" s="12"/>
      <c r="I97" s="46" t="s">
        <v>24</v>
      </c>
      <c r="J97" s="44">
        <v>2.0833333333333333E-3</v>
      </c>
      <c r="K97" s="89"/>
      <c r="L97" s="6"/>
      <c r="M97" s="6"/>
      <c r="N97" s="6"/>
    </row>
    <row r="98" spans="1:14" ht="50.4">
      <c r="A98" s="11"/>
      <c r="B98" s="114"/>
      <c r="C98" s="48" t="str">
        <f>master!C76</f>
        <v>リモートリポジトリ</v>
      </c>
      <c r="D98" s="118" t="s">
        <v>381</v>
      </c>
      <c r="E98" s="119"/>
      <c r="F98" s="120"/>
      <c r="G98" s="48" t="s">
        <v>332</v>
      </c>
      <c r="H98" s="12"/>
      <c r="I98" s="46" t="s">
        <v>24</v>
      </c>
      <c r="J98" s="44">
        <v>2.0833333333333333E-3</v>
      </c>
      <c r="K98" s="89"/>
      <c r="L98" s="6"/>
      <c r="M98" s="6"/>
      <c r="N98" s="6"/>
    </row>
    <row r="99" spans="1:14" ht="88.2">
      <c r="A99" s="11"/>
      <c r="B99" s="112" t="str">
        <f>master!B77</f>
        <v>ローカルリポジトリの操作</v>
      </c>
      <c r="C99" s="48" t="str">
        <f>master!C77</f>
        <v>はじめに</v>
      </c>
      <c r="D99" s="118" t="s">
        <v>397</v>
      </c>
      <c r="E99" s="119"/>
      <c r="F99" s="120"/>
      <c r="G99" s="48" t="s">
        <v>382</v>
      </c>
      <c r="H99" s="12"/>
      <c r="I99" s="46" t="s">
        <v>24</v>
      </c>
      <c r="J99" s="44">
        <v>6.9444444444444447E-4</v>
      </c>
      <c r="K99" s="89"/>
      <c r="L99" s="6"/>
      <c r="M99" s="6"/>
      <c r="N99" s="6"/>
    </row>
    <row r="100" spans="1:14" ht="37.799999999999997">
      <c r="A100" s="11"/>
      <c r="B100" s="113"/>
      <c r="C100" s="48" t="str">
        <f>master!C78</f>
        <v>リポジトリの作成</v>
      </c>
      <c r="D100" s="118" t="s">
        <v>383</v>
      </c>
      <c r="E100" s="119"/>
      <c r="F100" s="120"/>
      <c r="G100" s="48" t="s">
        <v>331</v>
      </c>
      <c r="H100" s="12"/>
      <c r="I100" s="46" t="s">
        <v>24</v>
      </c>
      <c r="J100" s="44">
        <v>1.3888888888888889E-3</v>
      </c>
      <c r="K100" s="89"/>
      <c r="L100" s="6"/>
      <c r="M100" s="6"/>
      <c r="N100" s="6"/>
    </row>
    <row r="101" spans="1:14" ht="37.799999999999997" customHeight="1">
      <c r="A101" s="11"/>
      <c r="B101" s="113"/>
      <c r="C101" s="48" t="str">
        <f>master!C79</f>
        <v>ファイルの変更</v>
      </c>
      <c r="D101" s="118" t="s">
        <v>384</v>
      </c>
      <c r="E101" s="119"/>
      <c r="F101" s="120"/>
      <c r="G101" s="48" t="s">
        <v>331</v>
      </c>
      <c r="H101" s="12"/>
      <c r="I101" s="46" t="s">
        <v>24</v>
      </c>
      <c r="J101" s="44">
        <v>1.3888888888888889E-3</v>
      </c>
      <c r="K101" s="89"/>
      <c r="L101" s="6"/>
      <c r="M101" s="6"/>
      <c r="N101" s="6"/>
    </row>
    <row r="102" spans="1:14" ht="37.799999999999997">
      <c r="A102" s="11"/>
      <c r="B102" s="113"/>
      <c r="C102" s="48" t="str">
        <f>master!C80</f>
        <v>変更内容の確認</v>
      </c>
      <c r="D102" s="118" t="s">
        <v>385</v>
      </c>
      <c r="E102" s="119"/>
      <c r="F102" s="120"/>
      <c r="G102" s="48" t="s">
        <v>331</v>
      </c>
      <c r="H102" s="12"/>
      <c r="I102" s="46" t="s">
        <v>24</v>
      </c>
      <c r="J102" s="44">
        <v>1.3888888888888889E-3</v>
      </c>
      <c r="K102" s="89"/>
      <c r="L102" s="6"/>
      <c r="M102" s="6"/>
      <c r="N102" s="6"/>
    </row>
    <row r="103" spans="1:14" ht="37.799999999999997">
      <c r="A103" s="11"/>
      <c r="B103" s="113"/>
      <c r="C103" s="48" t="str">
        <f>master!C81</f>
        <v>変更内容のステージ</v>
      </c>
      <c r="D103" s="118" t="s">
        <v>386</v>
      </c>
      <c r="E103" s="119"/>
      <c r="F103" s="120"/>
      <c r="G103" s="48" t="s">
        <v>331</v>
      </c>
      <c r="H103" s="12"/>
      <c r="I103" s="46" t="s">
        <v>24</v>
      </c>
      <c r="J103" s="44">
        <v>1.3888888888888889E-3</v>
      </c>
      <c r="K103" s="89"/>
      <c r="L103" s="6"/>
      <c r="M103" s="6"/>
      <c r="N103" s="6"/>
    </row>
    <row r="104" spans="1:14" ht="37.799999999999997">
      <c r="A104" s="11"/>
      <c r="B104" s="113"/>
      <c r="C104" s="48" t="str">
        <f>master!C82</f>
        <v>変更内容のコミット</v>
      </c>
      <c r="D104" s="118" t="s">
        <v>387</v>
      </c>
      <c r="E104" s="119"/>
      <c r="F104" s="120"/>
      <c r="G104" s="48" t="s">
        <v>331</v>
      </c>
      <c r="H104" s="12"/>
      <c r="I104" s="46" t="s">
        <v>24</v>
      </c>
      <c r="J104" s="44">
        <v>1.3888888888888889E-3</v>
      </c>
      <c r="K104" s="89"/>
      <c r="L104" s="6"/>
      <c r="M104" s="6"/>
      <c r="N104" s="6"/>
    </row>
    <row r="105" spans="1:14" ht="37.799999999999997">
      <c r="A105" s="11"/>
      <c r="B105" s="113"/>
      <c r="C105" s="48" t="str">
        <f>master!C83</f>
        <v>ワーキングツリーの変更の取り消し</v>
      </c>
      <c r="D105" s="118" t="s">
        <v>388</v>
      </c>
      <c r="E105" s="119"/>
      <c r="F105" s="120"/>
      <c r="G105" s="48" t="s">
        <v>331</v>
      </c>
      <c r="H105" s="12"/>
      <c r="I105" s="46" t="s">
        <v>24</v>
      </c>
      <c r="J105" s="44">
        <v>1.3888888888888889E-3</v>
      </c>
      <c r="K105" s="89"/>
      <c r="L105" s="6"/>
      <c r="M105" s="6"/>
      <c r="N105" s="6"/>
    </row>
    <row r="106" spans="1:14" ht="37.799999999999997">
      <c r="A106" s="11"/>
      <c r="B106" s="113"/>
      <c r="C106" s="48" t="str">
        <f>master!C84</f>
        <v>ステージングの取り消し</v>
      </c>
      <c r="D106" s="118" t="s">
        <v>389</v>
      </c>
      <c r="E106" s="119"/>
      <c r="F106" s="120"/>
      <c r="G106" s="48" t="s">
        <v>331</v>
      </c>
      <c r="H106" s="12"/>
      <c r="I106" s="46" t="s">
        <v>24</v>
      </c>
      <c r="J106" s="44">
        <v>1.3888888888888889E-3</v>
      </c>
      <c r="K106" s="89"/>
      <c r="L106" s="6"/>
      <c r="M106" s="6"/>
      <c r="N106" s="6"/>
    </row>
    <row r="107" spans="1:14" ht="37.799999999999997">
      <c r="A107" s="11"/>
      <c r="B107" s="114"/>
      <c r="C107" s="48" t="str">
        <f>master!C85</f>
        <v>コミットの打ち消し</v>
      </c>
      <c r="D107" s="118" t="s">
        <v>390</v>
      </c>
      <c r="E107" s="119"/>
      <c r="F107" s="120"/>
      <c r="G107" s="48" t="s">
        <v>331</v>
      </c>
      <c r="H107" s="12"/>
      <c r="I107" s="46" t="s">
        <v>24</v>
      </c>
      <c r="J107" s="44">
        <v>1.3888888888888889E-3</v>
      </c>
      <c r="K107" s="89"/>
      <c r="L107" s="6"/>
      <c r="M107" s="6"/>
      <c r="N107" s="6"/>
    </row>
    <row r="108" spans="1:14" ht="75.599999999999994">
      <c r="A108" s="11"/>
      <c r="B108" s="112" t="str">
        <f>master!B86</f>
        <v>リモートリポジトリの操作</v>
      </c>
      <c r="C108" s="48" t="str">
        <f>master!C86</f>
        <v>はじめに</v>
      </c>
      <c r="D108" s="118" t="s">
        <v>395</v>
      </c>
      <c r="E108" s="119"/>
      <c r="F108" s="120"/>
      <c r="G108" s="48" t="s">
        <v>377</v>
      </c>
      <c r="H108" s="12"/>
      <c r="I108" s="46" t="s">
        <v>49</v>
      </c>
      <c r="J108" s="44">
        <v>0</v>
      </c>
      <c r="K108" s="89" t="s">
        <v>423</v>
      </c>
      <c r="L108" s="6"/>
      <c r="M108" s="6"/>
      <c r="N108" s="6"/>
    </row>
    <row r="109" spans="1:14" ht="37.799999999999997">
      <c r="A109" s="11"/>
      <c r="B109" s="113"/>
      <c r="C109" s="48" t="str">
        <f>master!C87</f>
        <v>リポジトリの複製</v>
      </c>
      <c r="D109" s="118" t="s">
        <v>391</v>
      </c>
      <c r="E109" s="119"/>
      <c r="F109" s="120"/>
      <c r="G109" s="48" t="s">
        <v>331</v>
      </c>
      <c r="H109" s="12"/>
      <c r="I109" s="46" t="s">
        <v>49</v>
      </c>
      <c r="J109" s="44">
        <v>0</v>
      </c>
      <c r="K109" s="89" t="s">
        <v>423</v>
      </c>
      <c r="L109" s="6"/>
      <c r="M109" s="6"/>
      <c r="N109" s="6"/>
    </row>
    <row r="110" spans="1:14" ht="37.799999999999997">
      <c r="A110" s="11"/>
      <c r="B110" s="113"/>
      <c r="C110" s="48" t="str">
        <f>master!C88</f>
        <v>リモートからの取得</v>
      </c>
      <c r="D110" s="118" t="s">
        <v>392</v>
      </c>
      <c r="E110" s="119"/>
      <c r="F110" s="120"/>
      <c r="G110" s="48" t="s">
        <v>331</v>
      </c>
      <c r="H110" s="12"/>
      <c r="I110" s="46" t="s">
        <v>49</v>
      </c>
      <c r="J110" s="44">
        <v>0</v>
      </c>
      <c r="K110" s="89" t="s">
        <v>423</v>
      </c>
      <c r="L110" s="6"/>
      <c r="M110" s="6"/>
      <c r="N110" s="6"/>
    </row>
    <row r="111" spans="1:14" ht="37.799999999999997">
      <c r="A111" s="11"/>
      <c r="B111" s="113"/>
      <c r="C111" s="48" t="str">
        <f>master!C89</f>
        <v>リモートからの取得と反映</v>
      </c>
      <c r="D111" s="118" t="s">
        <v>394</v>
      </c>
      <c r="E111" s="119"/>
      <c r="F111" s="120"/>
      <c r="G111" s="48" t="s">
        <v>331</v>
      </c>
      <c r="H111" s="12"/>
      <c r="I111" s="46" t="s">
        <v>49</v>
      </c>
      <c r="J111" s="44">
        <v>0</v>
      </c>
      <c r="K111" s="89" t="s">
        <v>423</v>
      </c>
      <c r="L111" s="6"/>
      <c r="M111" s="6"/>
      <c r="N111" s="6"/>
    </row>
    <row r="112" spans="1:14" ht="37.799999999999997">
      <c r="A112" s="11"/>
      <c r="B112" s="114"/>
      <c r="C112" s="48" t="str">
        <f>master!C90</f>
        <v>リモートへの反映</v>
      </c>
      <c r="D112" s="118" t="s">
        <v>393</v>
      </c>
      <c r="E112" s="119"/>
      <c r="F112" s="120"/>
      <c r="G112" s="48" t="s">
        <v>331</v>
      </c>
      <c r="H112" s="12"/>
      <c r="I112" s="46" t="s">
        <v>49</v>
      </c>
      <c r="J112" s="44">
        <v>0</v>
      </c>
      <c r="K112" s="89" t="s">
        <v>423</v>
      </c>
      <c r="L112" s="6"/>
      <c r="M112" s="6"/>
      <c r="N112" s="6"/>
    </row>
    <row r="113" spans="1:14" ht="88.2">
      <c r="A113" s="11"/>
      <c r="B113" s="112" t="str">
        <f>master!B91</f>
        <v>ブランチの操作</v>
      </c>
      <c r="C113" s="48" t="str">
        <f>master!C91</f>
        <v>はじめに</v>
      </c>
      <c r="D113" s="118" t="s">
        <v>396</v>
      </c>
      <c r="E113" s="119"/>
      <c r="F113" s="120"/>
      <c r="G113" s="48" t="s">
        <v>382</v>
      </c>
      <c r="H113" s="12"/>
      <c r="I113" s="46" t="s">
        <v>49</v>
      </c>
      <c r="J113" s="44">
        <v>0</v>
      </c>
      <c r="K113" s="89" t="s">
        <v>421</v>
      </c>
      <c r="L113" s="6"/>
      <c r="M113" s="6"/>
      <c r="N113" s="6"/>
    </row>
    <row r="114" spans="1:14" ht="37.799999999999997">
      <c r="A114" s="11"/>
      <c r="B114" s="113"/>
      <c r="C114" s="48" t="str">
        <f>master!C92</f>
        <v>ブランチとは</v>
      </c>
      <c r="D114" s="118" t="s">
        <v>400</v>
      </c>
      <c r="E114" s="119"/>
      <c r="F114" s="120"/>
      <c r="G114" s="48" t="s">
        <v>331</v>
      </c>
      <c r="H114" s="12"/>
      <c r="I114" s="46" t="s">
        <v>49</v>
      </c>
      <c r="J114" s="44">
        <v>0</v>
      </c>
      <c r="K114" s="89"/>
      <c r="L114" s="6"/>
      <c r="M114" s="6"/>
      <c r="N114" s="6"/>
    </row>
    <row r="115" spans="1:14" ht="37.799999999999997">
      <c r="A115" s="11"/>
      <c r="B115" s="113"/>
      <c r="C115" s="48" t="str">
        <f>master!C93</f>
        <v>ブランチの作成</v>
      </c>
      <c r="D115" s="118" t="s">
        <v>401</v>
      </c>
      <c r="E115" s="119"/>
      <c r="F115" s="120"/>
      <c r="G115" s="48" t="s">
        <v>331</v>
      </c>
      <c r="H115" s="12"/>
      <c r="I115" s="46" t="s">
        <v>49</v>
      </c>
      <c r="J115" s="44">
        <v>0</v>
      </c>
      <c r="K115" s="89"/>
      <c r="L115" s="6"/>
      <c r="M115" s="6"/>
      <c r="N115" s="6"/>
    </row>
    <row r="116" spans="1:14" ht="37.799999999999997">
      <c r="A116" s="11"/>
      <c r="B116" s="113"/>
      <c r="C116" s="48" t="str">
        <f>master!C94</f>
        <v>ブランチの切り替え</v>
      </c>
      <c r="D116" s="118" t="s">
        <v>402</v>
      </c>
      <c r="E116" s="119"/>
      <c r="F116" s="120"/>
      <c r="G116" s="48" t="s">
        <v>331</v>
      </c>
      <c r="H116" s="12"/>
      <c r="I116" s="46" t="s">
        <v>49</v>
      </c>
      <c r="J116" s="44">
        <v>0</v>
      </c>
      <c r="K116" s="89"/>
      <c r="L116" s="6"/>
      <c r="M116" s="6"/>
      <c r="N116" s="6"/>
    </row>
    <row r="117" spans="1:14" ht="37.799999999999997">
      <c r="A117" s="11"/>
      <c r="B117" s="113"/>
      <c r="C117" s="48" t="str">
        <f>master!C95</f>
        <v>ブランチのマージ</v>
      </c>
      <c r="D117" s="118" t="s">
        <v>403</v>
      </c>
      <c r="E117" s="119"/>
      <c r="F117" s="120"/>
      <c r="G117" s="48" t="s">
        <v>331</v>
      </c>
      <c r="H117" s="12"/>
      <c r="I117" s="46" t="s">
        <v>49</v>
      </c>
      <c r="J117" s="44">
        <v>0</v>
      </c>
      <c r="K117" s="89"/>
      <c r="L117" s="6"/>
      <c r="M117" s="6"/>
      <c r="N117" s="6"/>
    </row>
    <row r="118" spans="1:14" ht="100.8">
      <c r="A118" s="11"/>
      <c r="B118" s="114"/>
      <c r="C118" s="48" t="str">
        <f>master!C96</f>
        <v>コンフリクトの解消</v>
      </c>
      <c r="D118" s="118" t="s">
        <v>405</v>
      </c>
      <c r="E118" s="119"/>
      <c r="F118" s="120"/>
      <c r="G118" s="48" t="s">
        <v>330</v>
      </c>
      <c r="H118" s="12"/>
      <c r="I118" s="46" t="s">
        <v>49</v>
      </c>
      <c r="J118" s="44">
        <v>0</v>
      </c>
      <c r="K118" s="89"/>
      <c r="L118" s="6"/>
      <c r="M118" s="6"/>
      <c r="N118" s="6"/>
    </row>
    <row r="119" spans="1:14" ht="75.599999999999994">
      <c r="A119" s="11"/>
      <c r="B119" s="112" t="str">
        <f>master!B97</f>
        <v>VSCodeによるGitの操作</v>
      </c>
      <c r="C119" s="48" t="str">
        <f>master!C97</f>
        <v>はじめに</v>
      </c>
      <c r="D119" s="118" t="s">
        <v>404</v>
      </c>
      <c r="E119" s="119"/>
      <c r="F119" s="120"/>
      <c r="G119" s="48" t="s">
        <v>377</v>
      </c>
      <c r="H119" s="12"/>
      <c r="I119" s="46" t="s">
        <v>24</v>
      </c>
      <c r="J119" s="44">
        <v>6.9444444444444447E-4</v>
      </c>
      <c r="K119" s="89"/>
      <c r="L119" s="6"/>
      <c r="M119" s="6"/>
      <c r="N119" s="6"/>
    </row>
    <row r="120" spans="1:14" ht="25.2">
      <c r="A120" s="11"/>
      <c r="B120" s="113"/>
      <c r="C120" s="48" t="str">
        <f>master!C98</f>
        <v>VSCodeのソース管理機能</v>
      </c>
      <c r="D120" s="118" t="s">
        <v>406</v>
      </c>
      <c r="E120" s="119"/>
      <c r="F120" s="120"/>
      <c r="G120" s="48" t="s">
        <v>407</v>
      </c>
      <c r="H120" s="12"/>
      <c r="I120" s="46" t="s">
        <v>24</v>
      </c>
      <c r="J120" s="44">
        <v>6.9444444444444447E-4</v>
      </c>
      <c r="K120" s="89"/>
      <c r="L120" s="6"/>
      <c r="M120" s="6"/>
      <c r="N120" s="6"/>
    </row>
    <row r="121" spans="1:14" ht="126">
      <c r="A121" s="11"/>
      <c r="B121" s="113"/>
      <c r="C121" s="48" t="str">
        <f>master!C99</f>
        <v>ローカルリポジトリの操作</v>
      </c>
      <c r="D121" s="118" t="s">
        <v>418</v>
      </c>
      <c r="E121" s="119"/>
      <c r="F121" s="120"/>
      <c r="G121" s="48" t="s">
        <v>417</v>
      </c>
      <c r="H121" s="12"/>
      <c r="I121" s="46" t="s">
        <v>49</v>
      </c>
      <c r="J121" s="44">
        <v>0</v>
      </c>
      <c r="K121" s="89"/>
      <c r="L121" s="6"/>
      <c r="M121" s="6"/>
      <c r="N121" s="6"/>
    </row>
    <row r="122" spans="1:14" ht="63">
      <c r="A122" s="11"/>
      <c r="B122" s="113"/>
      <c r="C122" s="48" t="str">
        <f>master!C100</f>
        <v>リモートリポジトリの操作</v>
      </c>
      <c r="D122" s="118" t="s">
        <v>408</v>
      </c>
      <c r="E122" s="119"/>
      <c r="F122" s="120"/>
      <c r="G122" s="48" t="s">
        <v>333</v>
      </c>
      <c r="H122" s="12"/>
      <c r="I122" s="46" t="s">
        <v>49</v>
      </c>
      <c r="J122" s="44">
        <v>0</v>
      </c>
      <c r="K122" s="89" t="s">
        <v>423</v>
      </c>
      <c r="L122" s="6"/>
      <c r="M122" s="6"/>
      <c r="N122" s="6"/>
    </row>
    <row r="123" spans="1:14" ht="113.4">
      <c r="A123" s="11"/>
      <c r="B123" s="114"/>
      <c r="C123" s="48" t="str">
        <f>master!C101</f>
        <v>ブランチの操作</v>
      </c>
      <c r="D123" s="118" t="s">
        <v>419</v>
      </c>
      <c r="E123" s="119"/>
      <c r="F123" s="120"/>
      <c r="G123" s="48" t="s">
        <v>420</v>
      </c>
      <c r="H123" s="12"/>
      <c r="I123" s="46" t="s">
        <v>49</v>
      </c>
      <c r="J123" s="44">
        <v>0</v>
      </c>
      <c r="K123" s="89" t="s">
        <v>422</v>
      </c>
      <c r="L123" s="6"/>
      <c r="M123" s="6"/>
      <c r="N123" s="6"/>
    </row>
    <row r="124" spans="1:14" ht="25.2">
      <c r="A124" s="11"/>
      <c r="B124" s="115" t="str">
        <f>master!B103</f>
        <v>演習の概要について</v>
      </c>
      <c r="C124" s="58" t="str">
        <f>master!C103</f>
        <v>はじめに</v>
      </c>
      <c r="D124" s="109"/>
      <c r="E124" s="110"/>
      <c r="F124" s="111"/>
      <c r="G124" s="58" t="s">
        <v>335</v>
      </c>
      <c r="H124" s="59"/>
      <c r="I124" s="60" t="s">
        <v>24</v>
      </c>
      <c r="J124" s="61">
        <v>6.9444444444444447E-4</v>
      </c>
      <c r="K124" s="62"/>
      <c r="L124" s="6"/>
      <c r="M124" s="6"/>
      <c r="N124" s="6"/>
    </row>
    <row r="125" spans="1:14" ht="50.4">
      <c r="A125" s="11"/>
      <c r="B125" s="116"/>
      <c r="C125" s="58" t="str">
        <f>master!C104</f>
        <v>構成</v>
      </c>
      <c r="D125" s="109" t="s">
        <v>410</v>
      </c>
      <c r="E125" s="110"/>
      <c r="F125" s="111"/>
      <c r="G125" s="58" t="s">
        <v>409</v>
      </c>
      <c r="H125" s="59"/>
      <c r="I125" s="60" t="s">
        <v>24</v>
      </c>
      <c r="J125" s="61">
        <v>6.9444444444444447E-4</v>
      </c>
      <c r="K125" s="62"/>
      <c r="L125" s="6"/>
      <c r="M125" s="6"/>
      <c r="N125" s="6"/>
    </row>
    <row r="126" spans="1:14" ht="50.4">
      <c r="A126" s="11"/>
      <c r="B126" s="117"/>
      <c r="C126" s="58" t="str">
        <f>master!C105</f>
        <v>利用するソフトウェア</v>
      </c>
      <c r="D126" s="109" t="s">
        <v>411</v>
      </c>
      <c r="E126" s="110"/>
      <c r="F126" s="111"/>
      <c r="G126" s="58" t="s">
        <v>409</v>
      </c>
      <c r="H126" s="59"/>
      <c r="I126" s="60" t="s">
        <v>24</v>
      </c>
      <c r="J126" s="61">
        <v>6.9444444444444447E-4</v>
      </c>
      <c r="K126" s="62" t="s">
        <v>424</v>
      </c>
      <c r="L126" s="6"/>
      <c r="M126" s="6"/>
      <c r="N126" s="6"/>
    </row>
    <row r="127" spans="1:14" ht="176.4">
      <c r="A127" s="11"/>
      <c r="B127" s="115" t="str">
        <f>master!B106</f>
        <v>ローカルリポジトリの操作</v>
      </c>
      <c r="C127" s="58" t="str">
        <f>master!C106</f>
        <v>演習の前に</v>
      </c>
      <c r="D127" s="109" t="s">
        <v>415</v>
      </c>
      <c r="E127" s="110"/>
      <c r="F127" s="111"/>
      <c r="G127" s="58" t="s">
        <v>414</v>
      </c>
      <c r="H127" s="59"/>
      <c r="I127" s="60" t="s">
        <v>24</v>
      </c>
      <c r="J127" s="61">
        <v>3.472222222222222E-3</v>
      </c>
      <c r="K127" s="62"/>
      <c r="L127" s="6"/>
      <c r="M127" s="6"/>
      <c r="N127" s="6"/>
    </row>
    <row r="128" spans="1:14" ht="37.799999999999997">
      <c r="A128" s="11"/>
      <c r="B128" s="116"/>
      <c r="C128" s="58" t="str">
        <f>master!C107</f>
        <v>リポジトリの作成</v>
      </c>
      <c r="D128" s="109" t="s">
        <v>412</v>
      </c>
      <c r="E128" s="110"/>
      <c r="F128" s="111"/>
      <c r="G128" s="58" t="s">
        <v>413</v>
      </c>
      <c r="H128" s="59"/>
      <c r="I128" s="60" t="s">
        <v>24</v>
      </c>
      <c r="J128" s="61">
        <v>3.472222222222222E-3</v>
      </c>
      <c r="K128" s="62"/>
      <c r="L128" s="6"/>
      <c r="M128" s="6"/>
      <c r="N128" s="6"/>
    </row>
    <row r="129" spans="1:14" ht="37.799999999999997">
      <c r="A129" s="11"/>
      <c r="B129" s="116"/>
      <c r="C129" s="58" t="str">
        <f>master!C108</f>
        <v>変更内容の確認</v>
      </c>
      <c r="D129" s="109" t="s">
        <v>412</v>
      </c>
      <c r="E129" s="110"/>
      <c r="F129" s="111"/>
      <c r="G129" s="58" t="s">
        <v>413</v>
      </c>
      <c r="H129" s="59"/>
      <c r="I129" s="60" t="s">
        <v>24</v>
      </c>
      <c r="J129" s="61">
        <v>3.472222222222222E-3</v>
      </c>
      <c r="K129" s="62"/>
      <c r="L129" s="6"/>
      <c r="M129" s="6"/>
      <c r="N129" s="6"/>
    </row>
    <row r="130" spans="1:14" ht="37.799999999999997">
      <c r="A130" s="11"/>
      <c r="B130" s="116"/>
      <c r="C130" s="58" t="str">
        <f>master!C109</f>
        <v>変更内容のステージング</v>
      </c>
      <c r="D130" s="109" t="s">
        <v>412</v>
      </c>
      <c r="E130" s="110"/>
      <c r="F130" s="111"/>
      <c r="G130" s="58" t="s">
        <v>413</v>
      </c>
      <c r="H130" s="59"/>
      <c r="I130" s="60" t="s">
        <v>24</v>
      </c>
      <c r="J130" s="61">
        <v>3.472222222222222E-3</v>
      </c>
      <c r="K130" s="62"/>
      <c r="L130" s="6"/>
      <c r="M130" s="6"/>
      <c r="N130" s="6"/>
    </row>
    <row r="131" spans="1:14" ht="37.799999999999997">
      <c r="A131" s="11"/>
      <c r="B131" s="117"/>
      <c r="C131" s="58" t="str">
        <f>master!C110</f>
        <v>変更内容のコミット</v>
      </c>
      <c r="D131" s="109" t="s">
        <v>412</v>
      </c>
      <c r="E131" s="110"/>
      <c r="F131" s="111"/>
      <c r="G131" s="58" t="s">
        <v>413</v>
      </c>
      <c r="H131" s="59"/>
      <c r="I131" s="60" t="s">
        <v>24</v>
      </c>
      <c r="J131" s="61">
        <v>3.472222222222222E-3</v>
      </c>
      <c r="K131" s="62"/>
      <c r="L131" s="6"/>
      <c r="M131" s="6"/>
      <c r="N131" s="6"/>
    </row>
    <row r="132" spans="1:14" ht="163.80000000000001">
      <c r="A132" s="11"/>
      <c r="B132" s="115" t="str">
        <f>master!B111</f>
        <v>ブランチの操作</v>
      </c>
      <c r="C132" s="58" t="str">
        <f>master!C111</f>
        <v>演習の前に</v>
      </c>
      <c r="D132" s="109" t="s">
        <v>416</v>
      </c>
      <c r="E132" s="110"/>
      <c r="F132" s="111"/>
      <c r="G132" s="58" t="s">
        <v>334</v>
      </c>
      <c r="H132" s="59"/>
      <c r="I132" s="60" t="s">
        <v>49</v>
      </c>
      <c r="J132" s="61">
        <v>0</v>
      </c>
      <c r="K132" s="62" t="s">
        <v>422</v>
      </c>
      <c r="L132" s="6"/>
      <c r="M132" s="6"/>
      <c r="N132" s="6"/>
    </row>
    <row r="133" spans="1:14" ht="37.799999999999997">
      <c r="A133" s="11"/>
      <c r="B133" s="116"/>
      <c r="C133" s="58" t="str">
        <f>master!C112</f>
        <v>ブランチの作成</v>
      </c>
      <c r="D133" s="109" t="s">
        <v>412</v>
      </c>
      <c r="E133" s="110"/>
      <c r="F133" s="111"/>
      <c r="G133" s="58" t="s">
        <v>413</v>
      </c>
      <c r="H133" s="59"/>
      <c r="I133" s="60" t="s">
        <v>49</v>
      </c>
      <c r="J133" s="61">
        <v>0</v>
      </c>
      <c r="K133" s="62" t="s">
        <v>422</v>
      </c>
      <c r="L133" s="6"/>
      <c r="M133" s="6"/>
      <c r="N133" s="6"/>
    </row>
    <row r="134" spans="1:14" ht="37.799999999999997">
      <c r="A134" s="11"/>
      <c r="B134" s="116"/>
      <c r="C134" s="58" t="str">
        <f>master!C113</f>
        <v>ブランチの切り替え</v>
      </c>
      <c r="D134" s="109" t="s">
        <v>412</v>
      </c>
      <c r="E134" s="110"/>
      <c r="F134" s="111"/>
      <c r="G134" s="58" t="s">
        <v>413</v>
      </c>
      <c r="H134" s="59"/>
      <c r="I134" s="60" t="s">
        <v>49</v>
      </c>
      <c r="J134" s="61">
        <v>0</v>
      </c>
      <c r="K134" s="62" t="s">
        <v>422</v>
      </c>
      <c r="L134" s="6"/>
      <c r="M134" s="6"/>
      <c r="N134" s="6"/>
    </row>
    <row r="135" spans="1:14" ht="37.799999999999997">
      <c r="A135" s="11"/>
      <c r="B135" s="117"/>
      <c r="C135" s="58" t="str">
        <f>master!C114</f>
        <v>ブランチのマージ</v>
      </c>
      <c r="D135" s="109" t="s">
        <v>412</v>
      </c>
      <c r="E135" s="110"/>
      <c r="F135" s="111"/>
      <c r="G135" s="58" t="s">
        <v>413</v>
      </c>
      <c r="H135" s="59"/>
      <c r="I135" s="60" t="s">
        <v>49</v>
      </c>
      <c r="J135" s="61">
        <v>0</v>
      </c>
      <c r="K135" s="62" t="s">
        <v>422</v>
      </c>
      <c r="L135" s="6"/>
      <c r="M135" s="6"/>
      <c r="N135" s="6"/>
    </row>
    <row r="136" spans="1:14" ht="214.2">
      <c r="A136" s="11"/>
      <c r="B136" s="86" t="str">
        <f>master!B67</f>
        <v>課題1の実施</v>
      </c>
      <c r="C136" s="58" t="str">
        <f>master!C67</f>
        <v>ここから各自で演習を始めましょう。</v>
      </c>
      <c r="D136" s="109" t="s">
        <v>198</v>
      </c>
      <c r="E136" s="110"/>
      <c r="F136" s="111"/>
      <c r="G136" s="58" t="s">
        <v>293</v>
      </c>
      <c r="H136" s="59"/>
      <c r="I136" s="60" t="s">
        <v>425</v>
      </c>
      <c r="J136" s="61" t="s">
        <v>338</v>
      </c>
      <c r="K136" s="62"/>
      <c r="L136" s="6"/>
      <c r="M136" s="6"/>
      <c r="N136" s="6"/>
    </row>
    <row r="137" spans="1:14" ht="50.4">
      <c r="A137" s="11"/>
      <c r="B137" s="127" t="str">
        <f>master!B116</f>
        <v>単体テストとJunitの導入</v>
      </c>
      <c r="C137" s="78" t="str">
        <f>master!C116</f>
        <v>講義の目的</v>
      </c>
      <c r="D137" s="118" t="s">
        <v>227</v>
      </c>
      <c r="E137" s="119"/>
      <c r="F137" s="120"/>
      <c r="G137" s="48" t="s">
        <v>297</v>
      </c>
      <c r="H137" s="12"/>
      <c r="I137" s="46" t="s">
        <v>24</v>
      </c>
      <c r="J137" s="44">
        <v>6.9444444444444447E-4</v>
      </c>
      <c r="K137" s="40"/>
      <c r="L137" s="6"/>
      <c r="M137" s="6"/>
      <c r="N137" s="6"/>
    </row>
    <row r="138" spans="1:14" ht="25.2">
      <c r="A138" s="11"/>
      <c r="B138" s="128"/>
      <c r="C138" s="78" t="str">
        <f>master!C117</f>
        <v>TERASOLUNA 開発手順　 ※再掲</v>
      </c>
      <c r="D138" s="118"/>
      <c r="E138" s="119"/>
      <c r="F138" s="120"/>
      <c r="G138" s="48" t="s">
        <v>298</v>
      </c>
      <c r="H138" s="12"/>
      <c r="I138" s="46" t="s">
        <v>24</v>
      </c>
      <c r="J138" s="44">
        <v>6.9444444444444447E-4</v>
      </c>
      <c r="K138" s="40"/>
      <c r="L138" s="6"/>
      <c r="M138" s="6"/>
      <c r="N138" s="6"/>
    </row>
    <row r="139" spans="1:14" ht="25.2">
      <c r="A139" s="11"/>
      <c r="B139" s="129"/>
      <c r="C139" s="78" t="str">
        <f>master!C118</f>
        <v>V字モデル　 ※再掲</v>
      </c>
      <c r="D139" s="118" t="s">
        <v>228</v>
      </c>
      <c r="E139" s="119"/>
      <c r="F139" s="120"/>
      <c r="G139" s="48" t="s">
        <v>298</v>
      </c>
      <c r="H139" s="12"/>
      <c r="I139" s="46" t="s">
        <v>24</v>
      </c>
      <c r="J139" s="44">
        <v>6.9444444444444447E-4</v>
      </c>
      <c r="K139" s="40"/>
      <c r="L139" s="6"/>
      <c r="M139" s="6"/>
      <c r="N139" s="6"/>
    </row>
    <row r="140" spans="1:14" ht="50.4">
      <c r="A140" s="11"/>
      <c r="B140" s="127" t="str">
        <f>master!B119</f>
        <v>テストとは</v>
      </c>
      <c r="C140" s="78" t="str">
        <f>master!C119</f>
        <v>テストとは</v>
      </c>
      <c r="D140" s="118" t="s">
        <v>229</v>
      </c>
      <c r="E140" s="119"/>
      <c r="F140" s="120"/>
      <c r="G140" s="48" t="s">
        <v>297</v>
      </c>
      <c r="H140" s="12"/>
      <c r="I140" s="46" t="s">
        <v>24</v>
      </c>
      <c r="J140" s="44">
        <v>2.0833333333333333E-3</v>
      </c>
      <c r="K140" s="40"/>
      <c r="L140" s="6"/>
      <c r="M140" s="6"/>
      <c r="N140" s="6"/>
    </row>
    <row r="141" spans="1:14" ht="315">
      <c r="A141" s="11"/>
      <c r="B141" s="128"/>
      <c r="C141" s="78" t="str">
        <f>master!C120</f>
        <v>テストの目的</v>
      </c>
      <c r="D141" s="118" t="s">
        <v>230</v>
      </c>
      <c r="E141" s="119"/>
      <c r="F141" s="120"/>
      <c r="G141" s="48" t="s">
        <v>299</v>
      </c>
      <c r="H141" s="12"/>
      <c r="I141" s="46" t="s">
        <v>24</v>
      </c>
      <c r="J141" s="44">
        <v>3.472222222222222E-3</v>
      </c>
      <c r="K141" s="40"/>
      <c r="L141" s="6"/>
      <c r="M141" s="6"/>
      <c r="N141" s="6"/>
    </row>
    <row r="142" spans="1:14" ht="25.2">
      <c r="A142" s="11"/>
      <c r="B142" s="128"/>
      <c r="C142" s="78" t="str">
        <f>master!C121</f>
        <v>テストを実施しなかった場合…</v>
      </c>
      <c r="D142" s="118" t="s">
        <v>231</v>
      </c>
      <c r="E142" s="119"/>
      <c r="F142" s="120"/>
      <c r="G142" s="48" t="s">
        <v>298</v>
      </c>
      <c r="H142" s="12"/>
      <c r="I142" s="46" t="s">
        <v>24</v>
      </c>
      <c r="J142" s="44">
        <v>2.0833333333333333E-3</v>
      </c>
      <c r="K142" s="40"/>
      <c r="L142" s="6"/>
      <c r="M142" s="6"/>
      <c r="N142" s="6"/>
    </row>
    <row r="143" spans="1:14" ht="100.8">
      <c r="A143" s="11"/>
      <c r="B143" s="129"/>
      <c r="C143" s="78" t="str">
        <f>master!C122</f>
        <v>コラム：テストとデバッグ</v>
      </c>
      <c r="D143" s="118" t="s">
        <v>232</v>
      </c>
      <c r="E143" s="119"/>
      <c r="F143" s="120"/>
      <c r="G143" s="48" t="s">
        <v>300</v>
      </c>
      <c r="H143" s="12"/>
      <c r="I143" s="46" t="s">
        <v>24</v>
      </c>
      <c r="J143" s="44">
        <v>2.0833333333333333E-3</v>
      </c>
      <c r="K143" s="40"/>
      <c r="L143" s="6"/>
      <c r="M143" s="6"/>
      <c r="N143" s="6"/>
    </row>
    <row r="144" spans="1:14" ht="50.4">
      <c r="A144" s="11"/>
      <c r="B144" s="127" t="str">
        <f>master!B123</f>
        <v>単体テストとは</v>
      </c>
      <c r="C144" s="78" t="str">
        <f>master!C123</f>
        <v>単体テスト（Unit Test）とは</v>
      </c>
      <c r="D144" s="118" t="s">
        <v>233</v>
      </c>
      <c r="E144" s="119"/>
      <c r="F144" s="120"/>
      <c r="G144" s="48" t="s">
        <v>297</v>
      </c>
      <c r="H144" s="12"/>
      <c r="I144" s="46" t="s">
        <v>24</v>
      </c>
      <c r="J144" s="44">
        <v>6.9444444444444447E-4</v>
      </c>
      <c r="K144" s="40"/>
      <c r="L144" s="6"/>
      <c r="M144" s="6"/>
      <c r="N144" s="6"/>
    </row>
    <row r="145" spans="1:14" ht="25.2">
      <c r="A145" s="11"/>
      <c r="B145" s="128"/>
      <c r="C145" s="78" t="str">
        <f>master!C124</f>
        <v xml:space="preserve">V字モデル　– 製造/単体テスト –　※再掲 </v>
      </c>
      <c r="D145" s="118"/>
      <c r="E145" s="119"/>
      <c r="F145" s="120"/>
      <c r="G145" s="48" t="s">
        <v>298</v>
      </c>
      <c r="H145" s="12"/>
      <c r="I145" s="46" t="s">
        <v>24</v>
      </c>
      <c r="J145" s="44">
        <v>6.9444444444444447E-4</v>
      </c>
      <c r="K145" s="40"/>
      <c r="L145" s="6"/>
      <c r="M145" s="6"/>
      <c r="N145" s="6"/>
    </row>
    <row r="146" spans="1:14" ht="302.39999999999998">
      <c r="A146" s="11"/>
      <c r="B146" s="128"/>
      <c r="C146" s="78" t="str">
        <f>master!C125</f>
        <v>テスト設計の流れ</v>
      </c>
      <c r="D146" s="118" t="s">
        <v>234</v>
      </c>
      <c r="E146" s="119"/>
      <c r="F146" s="120"/>
      <c r="G146" s="48" t="s">
        <v>301</v>
      </c>
      <c r="H146" s="12"/>
      <c r="I146" s="46" t="s">
        <v>24</v>
      </c>
      <c r="J146" s="44">
        <v>3.472222222222222E-3</v>
      </c>
      <c r="K146" s="40"/>
      <c r="L146" s="6"/>
      <c r="M146" s="6"/>
      <c r="N146" s="6"/>
    </row>
    <row r="147" spans="1:14" ht="37.799999999999997">
      <c r="A147" s="11"/>
      <c r="B147" s="128"/>
      <c r="C147" s="78" t="str">
        <f>master!C126</f>
        <v>テスト設計の例</v>
      </c>
      <c r="D147" s="118" t="s">
        <v>235</v>
      </c>
      <c r="E147" s="119"/>
      <c r="F147" s="120"/>
      <c r="G147" s="48" t="s">
        <v>302</v>
      </c>
      <c r="H147" s="12"/>
      <c r="I147" s="46" t="s">
        <v>24</v>
      </c>
      <c r="J147" s="44">
        <v>3.472222222222222E-3</v>
      </c>
      <c r="K147" s="40"/>
      <c r="L147" s="6"/>
      <c r="M147" s="6"/>
      <c r="N147" s="6"/>
    </row>
    <row r="148" spans="1:14" ht="75.599999999999994">
      <c r="A148" s="11"/>
      <c r="B148" s="128"/>
      <c r="C148" s="78" t="str">
        <f>master!C127</f>
        <v>単体テスト（Unit Test）とは</v>
      </c>
      <c r="D148" s="118" t="s">
        <v>236</v>
      </c>
      <c r="E148" s="119"/>
      <c r="F148" s="120"/>
      <c r="G148" s="48" t="s">
        <v>303</v>
      </c>
      <c r="H148" s="12"/>
      <c r="I148" s="46" t="s">
        <v>24</v>
      </c>
      <c r="J148" s="44">
        <v>6.9444444444444447E-4</v>
      </c>
      <c r="K148" s="40"/>
      <c r="L148" s="6"/>
      <c r="M148" s="6"/>
      <c r="N148" s="6"/>
    </row>
    <row r="149" spans="1:14" ht="113.4">
      <c r="A149" s="11"/>
      <c r="B149" s="128"/>
      <c r="C149" s="78" t="str">
        <f>master!C128</f>
        <v>テスト技法 – ブラックボックステスト技法 –</v>
      </c>
      <c r="D149" s="118" t="s">
        <v>237</v>
      </c>
      <c r="E149" s="119"/>
      <c r="F149" s="120"/>
      <c r="G149" s="48" t="s">
        <v>304</v>
      </c>
      <c r="H149" s="12"/>
      <c r="I149" s="46" t="s">
        <v>24</v>
      </c>
      <c r="J149" s="44">
        <v>2.0833333333333333E-3</v>
      </c>
      <c r="K149" s="40"/>
      <c r="L149" s="6"/>
      <c r="M149" s="6"/>
      <c r="N149" s="6"/>
    </row>
    <row r="150" spans="1:14" ht="201.6">
      <c r="A150" s="11"/>
      <c r="B150" s="128"/>
      <c r="C150" s="78" t="str">
        <f>master!C129</f>
        <v>ブラックボックステスト：同値分割法</v>
      </c>
      <c r="D150" s="118" t="s">
        <v>240</v>
      </c>
      <c r="E150" s="119"/>
      <c r="F150" s="120"/>
      <c r="G150" s="48" t="s">
        <v>305</v>
      </c>
      <c r="H150" s="12"/>
      <c r="I150" s="46" t="s">
        <v>24</v>
      </c>
      <c r="J150" s="44">
        <v>3.472222222222222E-3</v>
      </c>
      <c r="K150" s="40"/>
      <c r="L150" s="6"/>
      <c r="M150" s="6"/>
      <c r="N150" s="6"/>
    </row>
    <row r="151" spans="1:14" ht="113.4">
      <c r="A151" s="11"/>
      <c r="B151" s="128"/>
      <c r="C151" s="78" t="str">
        <f>master!C130</f>
        <v>ブラックボックステスト：境界値分析</v>
      </c>
      <c r="D151" s="118" t="s">
        <v>239</v>
      </c>
      <c r="E151" s="119"/>
      <c r="F151" s="120"/>
      <c r="G151" s="48" t="s">
        <v>304</v>
      </c>
      <c r="H151" s="12"/>
      <c r="I151" s="46" t="s">
        <v>24</v>
      </c>
      <c r="J151" s="44">
        <v>6.9444444444444441E-3</v>
      </c>
      <c r="K151" s="40"/>
      <c r="L151" s="6"/>
      <c r="M151" s="6"/>
      <c r="N151" s="6"/>
    </row>
    <row r="152" spans="1:14" ht="176.4">
      <c r="A152" s="11"/>
      <c r="B152" s="128"/>
      <c r="C152" s="78" t="str">
        <f>master!C131</f>
        <v>ブラックボックステスト：ディシジョンテーブルテスト</v>
      </c>
      <c r="D152" s="118" t="s">
        <v>238</v>
      </c>
      <c r="E152" s="119"/>
      <c r="F152" s="120"/>
      <c r="G152" s="48" t="s">
        <v>306</v>
      </c>
      <c r="H152" s="12"/>
      <c r="I152" s="46" t="s">
        <v>24</v>
      </c>
      <c r="J152" s="44">
        <v>3.472222222222222E-3</v>
      </c>
      <c r="K152" s="40"/>
      <c r="L152" s="6"/>
      <c r="M152" s="6"/>
      <c r="N152" s="6"/>
    </row>
    <row r="153" spans="1:14" ht="37.799999999999997">
      <c r="A153" s="11"/>
      <c r="B153" s="128"/>
      <c r="C153" s="78" t="str">
        <f>master!C132</f>
        <v>ブラックボックステスト：状態遷移テスト</v>
      </c>
      <c r="D153" s="118" t="s">
        <v>241</v>
      </c>
      <c r="E153" s="119"/>
      <c r="F153" s="120"/>
      <c r="G153" s="48" t="s">
        <v>302</v>
      </c>
      <c r="H153" s="12"/>
      <c r="I153" s="46" t="s">
        <v>24</v>
      </c>
      <c r="J153" s="44">
        <v>3.472222222222222E-3</v>
      </c>
      <c r="K153" s="40"/>
      <c r="L153" s="6"/>
      <c r="M153" s="6"/>
      <c r="N153" s="6"/>
    </row>
    <row r="154" spans="1:14" ht="88.2">
      <c r="A154" s="11"/>
      <c r="B154" s="128"/>
      <c r="C154" s="78" t="str">
        <f>master!C133</f>
        <v>テスト技法 – ホワイトボックステスト技法 –</v>
      </c>
      <c r="D154" s="118" t="s">
        <v>242</v>
      </c>
      <c r="E154" s="119"/>
      <c r="F154" s="120"/>
      <c r="G154" s="48" t="s">
        <v>307</v>
      </c>
      <c r="H154" s="12"/>
      <c r="I154" s="46" t="s">
        <v>24</v>
      </c>
      <c r="J154" s="44">
        <v>2.0833333333333333E-3</v>
      </c>
      <c r="K154" s="40"/>
      <c r="L154" s="6"/>
      <c r="M154" s="6"/>
      <c r="N154" s="6"/>
    </row>
    <row r="155" spans="1:14" ht="151.19999999999999">
      <c r="A155" s="11"/>
      <c r="B155" s="128"/>
      <c r="C155" s="78" t="str">
        <f>master!C134</f>
        <v>ホワイトボックステストの評価基準</v>
      </c>
      <c r="D155" s="118" t="s">
        <v>243</v>
      </c>
      <c r="E155" s="119"/>
      <c r="F155" s="120"/>
      <c r="G155" s="48" t="s">
        <v>308</v>
      </c>
      <c r="H155" s="12"/>
      <c r="I155" s="46" t="s">
        <v>24</v>
      </c>
      <c r="J155" s="44">
        <v>3.472222222222222E-3</v>
      </c>
      <c r="K155" s="40"/>
      <c r="L155" s="6"/>
      <c r="M155" s="6"/>
      <c r="N155" s="6"/>
    </row>
    <row r="156" spans="1:14" ht="37.799999999999997">
      <c r="A156" s="11"/>
      <c r="B156" s="128"/>
      <c r="C156" s="78" t="str">
        <f>master!C135</f>
        <v>ホワイトボックステスト：ステートメントテスト</v>
      </c>
      <c r="D156" s="118" t="s">
        <v>244</v>
      </c>
      <c r="E156" s="119"/>
      <c r="F156" s="120"/>
      <c r="G156" s="48" t="s">
        <v>302</v>
      </c>
      <c r="H156" s="12"/>
      <c r="I156" s="46" t="s">
        <v>24</v>
      </c>
      <c r="J156" s="44">
        <v>3.472222222222222E-3</v>
      </c>
      <c r="K156" s="40"/>
      <c r="L156" s="6"/>
      <c r="M156" s="6"/>
      <c r="N156" s="6"/>
    </row>
    <row r="157" spans="1:14" ht="37.799999999999997">
      <c r="A157" s="11"/>
      <c r="B157" s="128"/>
      <c r="C157" s="78" t="str">
        <f>master!C136</f>
        <v>ホワイトボックステスト：ブランチテスト</v>
      </c>
      <c r="D157" s="118" t="s">
        <v>245</v>
      </c>
      <c r="E157" s="119"/>
      <c r="F157" s="120"/>
      <c r="G157" s="48" t="s">
        <v>302</v>
      </c>
      <c r="H157" s="12"/>
      <c r="I157" s="46" t="s">
        <v>24</v>
      </c>
      <c r="J157" s="44">
        <v>3.472222222222222E-3</v>
      </c>
      <c r="K157" s="40"/>
      <c r="L157" s="6"/>
      <c r="M157" s="6"/>
      <c r="N157" s="6"/>
    </row>
    <row r="158" spans="1:14" ht="37.799999999999997">
      <c r="A158" s="11"/>
      <c r="B158" s="128"/>
      <c r="C158" s="78" t="str">
        <f>master!C137</f>
        <v>ホワイトボックステスト：コンディションテスト</v>
      </c>
      <c r="D158" s="118" t="s">
        <v>246</v>
      </c>
      <c r="E158" s="119"/>
      <c r="F158" s="120"/>
      <c r="G158" s="48" t="s">
        <v>302</v>
      </c>
      <c r="H158" s="12"/>
      <c r="I158" s="46" t="s">
        <v>24</v>
      </c>
      <c r="J158" s="44">
        <v>3.472222222222222E-3</v>
      </c>
      <c r="K158" s="40"/>
      <c r="L158" s="6"/>
      <c r="M158" s="6"/>
      <c r="N158" s="6"/>
    </row>
    <row r="159" spans="1:14" ht="37.799999999999997">
      <c r="A159" s="11"/>
      <c r="B159" s="128"/>
      <c r="C159" s="78" t="str">
        <f>master!C138</f>
        <v>テスト技法 – 経験ベースの技法 –</v>
      </c>
      <c r="D159" s="118" t="s">
        <v>247</v>
      </c>
      <c r="E159" s="119"/>
      <c r="F159" s="120"/>
      <c r="G159" s="48" t="s">
        <v>302</v>
      </c>
      <c r="H159" s="12"/>
      <c r="I159" s="46" t="s">
        <v>24</v>
      </c>
      <c r="J159" s="44">
        <v>3.472222222222222E-3</v>
      </c>
      <c r="K159" s="40"/>
      <c r="L159" s="6"/>
      <c r="M159" s="6"/>
      <c r="N159" s="6"/>
    </row>
    <row r="160" spans="1:14" ht="100.8">
      <c r="A160" s="11"/>
      <c r="B160" s="128"/>
      <c r="C160" s="78" t="str">
        <f>master!C139</f>
        <v>スタブとドライバ</v>
      </c>
      <c r="D160" s="118" t="s">
        <v>248</v>
      </c>
      <c r="E160" s="119"/>
      <c r="F160" s="120"/>
      <c r="G160" s="48" t="s">
        <v>300</v>
      </c>
      <c r="H160" s="12"/>
      <c r="I160" s="46" t="s">
        <v>24</v>
      </c>
      <c r="J160" s="44">
        <v>3.472222222222222E-3</v>
      </c>
      <c r="K160" s="40"/>
      <c r="L160" s="6"/>
      <c r="M160" s="6"/>
      <c r="N160" s="6"/>
    </row>
    <row r="161" spans="1:14" ht="75.599999999999994">
      <c r="A161" s="11"/>
      <c r="B161" s="129"/>
      <c r="C161" s="78" t="str">
        <f>master!C140</f>
        <v>スタブとモック</v>
      </c>
      <c r="D161" s="118" t="s">
        <v>249</v>
      </c>
      <c r="E161" s="119"/>
      <c r="F161" s="120"/>
      <c r="G161" s="48" t="s">
        <v>303</v>
      </c>
      <c r="H161" s="12"/>
      <c r="I161" s="46" t="s">
        <v>24</v>
      </c>
      <c r="J161" s="44">
        <v>3.472222222222222E-3</v>
      </c>
      <c r="K161" s="40"/>
      <c r="L161" s="6"/>
      <c r="M161" s="6"/>
      <c r="N161" s="6"/>
    </row>
    <row r="162" spans="1:14" ht="37.799999999999997">
      <c r="A162" s="11"/>
      <c r="B162" s="127" t="str">
        <f>master!B141</f>
        <v>JUnit</v>
      </c>
      <c r="C162" s="78" t="str">
        <f>master!C141</f>
        <v>JUnitとは</v>
      </c>
      <c r="D162" s="118" t="s">
        <v>250</v>
      </c>
      <c r="E162" s="119"/>
      <c r="F162" s="120"/>
      <c r="G162" s="48" t="s">
        <v>302</v>
      </c>
      <c r="H162" s="12"/>
      <c r="I162" s="46" t="s">
        <v>24</v>
      </c>
      <c r="J162" s="44">
        <v>1.3888888888888889E-3</v>
      </c>
      <c r="K162" s="40"/>
      <c r="L162" s="6"/>
      <c r="M162" s="6"/>
      <c r="N162" s="6"/>
    </row>
    <row r="163" spans="1:14" ht="25.2">
      <c r="A163" s="11"/>
      <c r="B163" s="129"/>
      <c r="C163" s="78" t="str">
        <f>master!C142</f>
        <v>参考文献</v>
      </c>
      <c r="D163" s="118"/>
      <c r="E163" s="119"/>
      <c r="F163" s="120"/>
      <c r="G163" s="48" t="s">
        <v>298</v>
      </c>
      <c r="H163" s="12"/>
      <c r="I163" s="46" t="s">
        <v>24</v>
      </c>
      <c r="J163" s="44">
        <v>6.9444444444444447E-4</v>
      </c>
      <c r="K163" s="40"/>
      <c r="L163" s="6"/>
      <c r="M163" s="6"/>
      <c r="N163" s="6"/>
    </row>
    <row r="164" spans="1:14" ht="37.799999999999997">
      <c r="A164" s="11"/>
      <c r="B164" s="88" t="str">
        <f>master!B67</f>
        <v>課題1の実施</v>
      </c>
      <c r="C164" s="58" t="str">
        <f>master!C67</f>
        <v>ここから各自で演習を始めましょう。</v>
      </c>
      <c r="D164" s="109" t="s">
        <v>251</v>
      </c>
      <c r="E164" s="110"/>
      <c r="F164" s="111"/>
      <c r="G164" s="58" t="s">
        <v>42</v>
      </c>
      <c r="H164" s="59"/>
      <c r="I164" s="60" t="s">
        <v>24</v>
      </c>
      <c r="J164" s="61" t="s">
        <v>338</v>
      </c>
      <c r="K164" s="62"/>
      <c r="L164" s="6"/>
      <c r="M164" s="6"/>
      <c r="N164" s="6"/>
    </row>
    <row r="165" spans="1:14" ht="25.2">
      <c r="A165" s="11"/>
      <c r="B165" s="121" t="str">
        <f>master!B144</f>
        <v>課題2の導入</v>
      </c>
      <c r="C165" s="58" t="str">
        <f>master!C144</f>
        <v>演習課題の概要</v>
      </c>
      <c r="D165" s="109" t="s">
        <v>267</v>
      </c>
      <c r="E165" s="110"/>
      <c r="F165" s="111"/>
      <c r="G165" s="58" t="s">
        <v>309</v>
      </c>
      <c r="H165" s="59"/>
      <c r="I165" s="60" t="s">
        <v>24</v>
      </c>
      <c r="J165" s="61">
        <v>6.9444444444444447E-4</v>
      </c>
      <c r="K165" s="62"/>
      <c r="L165" s="6"/>
      <c r="M165" s="6"/>
      <c r="N165" s="6"/>
    </row>
    <row r="166" spans="1:14" ht="138.6">
      <c r="A166" s="11"/>
      <c r="B166" s="122"/>
      <c r="C166" s="58" t="str">
        <f>master!C145</f>
        <v>[構造理解] Webアプリケーションで必要なもの  ※再掲</v>
      </c>
      <c r="D166" s="109" t="s">
        <v>268</v>
      </c>
      <c r="E166" s="110"/>
      <c r="F166" s="111"/>
      <c r="G166" s="58" t="s">
        <v>310</v>
      </c>
      <c r="H166" s="59"/>
      <c r="I166" s="60" t="s">
        <v>24</v>
      </c>
      <c r="J166" s="61">
        <v>2.0833333333333333E-3</v>
      </c>
      <c r="K166" s="62"/>
      <c r="L166" s="6"/>
      <c r="M166" s="6"/>
      <c r="N166" s="6"/>
    </row>
    <row r="167" spans="1:14" ht="50.4">
      <c r="A167" s="11"/>
      <c r="B167" s="122"/>
      <c r="C167" s="58" t="str">
        <f>master!C146</f>
        <v>テストクラスを作成する単位</v>
      </c>
      <c r="D167" s="109" t="s">
        <v>269</v>
      </c>
      <c r="E167" s="110"/>
      <c r="F167" s="111"/>
      <c r="G167" s="58" t="s">
        <v>311</v>
      </c>
      <c r="H167" s="59"/>
      <c r="I167" s="60" t="s">
        <v>24</v>
      </c>
      <c r="J167" s="61">
        <v>2.0833333333333333E-3</v>
      </c>
      <c r="K167" s="62"/>
      <c r="L167" s="6"/>
      <c r="M167" s="6"/>
      <c r="N167" s="6"/>
    </row>
    <row r="168" spans="1:14" ht="113.4">
      <c r="A168" s="11"/>
      <c r="B168" s="123"/>
      <c r="C168" s="58" t="str">
        <f>master!C147</f>
        <v>JUnitで単体テスト</v>
      </c>
      <c r="D168" s="109" t="s">
        <v>270</v>
      </c>
      <c r="E168" s="110"/>
      <c r="F168" s="111"/>
      <c r="G168" s="58" t="s">
        <v>312</v>
      </c>
      <c r="H168" s="59"/>
      <c r="I168" s="60" t="s">
        <v>24</v>
      </c>
      <c r="J168" s="61">
        <v>3.472222222222222E-3</v>
      </c>
      <c r="K168" s="62"/>
      <c r="L168" s="6"/>
      <c r="M168" s="6"/>
      <c r="N168" s="6"/>
    </row>
    <row r="169" spans="1:14" ht="25.2">
      <c r="A169" s="11"/>
      <c r="B169" s="121" t="str">
        <f>master!B148</f>
        <v>ハンズオン</v>
      </c>
      <c r="C169" s="58" t="str">
        <f>master!C148</f>
        <v>バイブコーディングで単体テスト – はじめに</v>
      </c>
      <c r="D169" s="109" t="s">
        <v>271</v>
      </c>
      <c r="E169" s="110"/>
      <c r="F169" s="111"/>
      <c r="G169" s="58" t="s">
        <v>309</v>
      </c>
      <c r="H169" s="59"/>
      <c r="I169" s="60" t="s">
        <v>24</v>
      </c>
      <c r="J169" s="61">
        <v>6.9444444444444447E-4</v>
      </c>
      <c r="K169" s="62"/>
      <c r="L169" s="6"/>
      <c r="M169" s="6"/>
      <c r="N169" s="6"/>
    </row>
    <row r="170" spans="1:14" ht="50.4">
      <c r="A170" s="11"/>
      <c r="B170" s="122"/>
      <c r="C170" s="58" t="str">
        <f>master!C149</f>
        <v>バイブコーディング単体テスト①テスト項目表を作る</v>
      </c>
      <c r="D170" s="109" t="s">
        <v>272</v>
      </c>
      <c r="E170" s="110"/>
      <c r="F170" s="111"/>
      <c r="G170" s="58" t="s">
        <v>311</v>
      </c>
      <c r="H170" s="59"/>
      <c r="I170" s="60" t="s">
        <v>24</v>
      </c>
      <c r="J170" s="61">
        <v>3.472222222222222E-3</v>
      </c>
      <c r="K170" s="62"/>
      <c r="L170" s="6"/>
      <c r="M170" s="6"/>
      <c r="N170" s="6"/>
    </row>
    <row r="171" spans="1:14" ht="88.2">
      <c r="A171" s="11"/>
      <c r="B171" s="122"/>
      <c r="C171" s="58"/>
      <c r="D171" s="109" t="s">
        <v>183</v>
      </c>
      <c r="E171" s="110"/>
      <c r="F171" s="111"/>
      <c r="G171" s="58" t="s">
        <v>313</v>
      </c>
      <c r="H171" s="59"/>
      <c r="I171" s="60" t="s">
        <v>24</v>
      </c>
      <c r="J171" s="61">
        <v>6.9444444444444441E-3</v>
      </c>
      <c r="K171" s="62"/>
      <c r="L171" s="6"/>
      <c r="M171" s="6"/>
      <c r="N171" s="6"/>
    </row>
    <row r="172" spans="1:14" ht="50.4">
      <c r="A172" s="11"/>
      <c r="B172" s="122"/>
      <c r="C172" s="76" t="str">
        <f>master!C150</f>
        <v>バイブコーディング単体テスト②Repositoryのテストを作る</v>
      </c>
      <c r="D172" s="109" t="s">
        <v>273</v>
      </c>
      <c r="E172" s="110"/>
      <c r="F172" s="111"/>
      <c r="G172" s="58" t="s">
        <v>311</v>
      </c>
      <c r="H172" s="59"/>
      <c r="I172" s="60" t="s">
        <v>24</v>
      </c>
      <c r="J172" s="61">
        <v>3.472222222222222E-3</v>
      </c>
      <c r="K172" s="62"/>
      <c r="L172" s="6"/>
      <c r="M172" s="6"/>
      <c r="N172" s="6"/>
    </row>
    <row r="173" spans="1:14" ht="88.2">
      <c r="A173" s="11"/>
      <c r="B173" s="122"/>
      <c r="C173" s="77"/>
      <c r="D173" s="109" t="s">
        <v>183</v>
      </c>
      <c r="E173" s="110"/>
      <c r="F173" s="111"/>
      <c r="G173" s="58" t="s">
        <v>313</v>
      </c>
      <c r="H173" s="59"/>
      <c r="I173" s="60" t="s">
        <v>24</v>
      </c>
      <c r="J173" s="61">
        <v>6.9444444444444441E-3</v>
      </c>
      <c r="K173" s="62"/>
      <c r="L173" s="6"/>
      <c r="M173" s="6"/>
      <c r="N173" s="6"/>
    </row>
    <row r="174" spans="1:14" ht="138.6">
      <c r="A174" s="11"/>
      <c r="B174" s="122"/>
      <c r="C174" s="58" t="str">
        <f>master!C151</f>
        <v>[解説] Repositoryのテストクラス（抜粋）</v>
      </c>
      <c r="D174" s="109" t="s">
        <v>275</v>
      </c>
      <c r="E174" s="110"/>
      <c r="F174" s="111"/>
      <c r="G174" s="58" t="s">
        <v>310</v>
      </c>
      <c r="H174" s="59"/>
      <c r="I174" s="60" t="s">
        <v>24</v>
      </c>
      <c r="J174" s="61">
        <v>6.9444444444444441E-3</v>
      </c>
      <c r="K174" s="62"/>
      <c r="L174" s="6"/>
      <c r="M174" s="6"/>
      <c r="N174" s="6"/>
    </row>
    <row r="175" spans="1:14" ht="50.4">
      <c r="A175" s="11"/>
      <c r="B175" s="122"/>
      <c r="C175" s="76" t="str">
        <f>master!C152</f>
        <v>バイブコーディング単体テスト③Serviceのテストを作る</v>
      </c>
      <c r="D175" s="109" t="s">
        <v>273</v>
      </c>
      <c r="E175" s="110"/>
      <c r="F175" s="111"/>
      <c r="G175" s="58" t="s">
        <v>311</v>
      </c>
      <c r="H175" s="59"/>
      <c r="I175" s="60" t="s">
        <v>24</v>
      </c>
      <c r="J175" s="61">
        <v>3.472222222222222E-3</v>
      </c>
      <c r="K175" s="62"/>
      <c r="L175" s="6"/>
      <c r="M175" s="6"/>
      <c r="N175" s="6"/>
    </row>
    <row r="176" spans="1:14" ht="88.2">
      <c r="A176" s="11"/>
      <c r="B176" s="122"/>
      <c r="C176" s="77"/>
      <c r="D176" s="109" t="s">
        <v>183</v>
      </c>
      <c r="E176" s="110"/>
      <c r="F176" s="111"/>
      <c r="G176" s="58" t="s">
        <v>313</v>
      </c>
      <c r="H176" s="59"/>
      <c r="I176" s="60" t="s">
        <v>24</v>
      </c>
      <c r="J176" s="61">
        <v>6.9444444444444441E-3</v>
      </c>
      <c r="K176" s="62"/>
      <c r="L176" s="6"/>
      <c r="M176" s="6"/>
      <c r="N176" s="6"/>
    </row>
    <row r="177" spans="1:14" ht="138.6">
      <c r="A177" s="11"/>
      <c r="B177" s="122"/>
      <c r="C177" s="58" t="str">
        <f>master!C153</f>
        <v>[解説] Serviceのテストクラス（抜粋）</v>
      </c>
      <c r="D177" s="109" t="s">
        <v>274</v>
      </c>
      <c r="E177" s="110"/>
      <c r="F177" s="111"/>
      <c r="G177" s="58" t="s">
        <v>310</v>
      </c>
      <c r="H177" s="59"/>
      <c r="I177" s="60" t="s">
        <v>24</v>
      </c>
      <c r="J177" s="61">
        <v>6.9444444444444441E-3</v>
      </c>
      <c r="K177" s="62"/>
      <c r="L177" s="6"/>
      <c r="M177" s="6"/>
      <c r="N177" s="6"/>
    </row>
    <row r="178" spans="1:14" ht="50.4">
      <c r="A178" s="11"/>
      <c r="B178" s="122"/>
      <c r="C178" s="76" t="str">
        <f>master!C154</f>
        <v>バイブコーディング単体テスト④Controllerのテストを作る</v>
      </c>
      <c r="D178" s="109" t="s">
        <v>273</v>
      </c>
      <c r="E178" s="110"/>
      <c r="F178" s="111"/>
      <c r="G178" s="58" t="s">
        <v>311</v>
      </c>
      <c r="H178" s="59"/>
      <c r="I178" s="60" t="s">
        <v>24</v>
      </c>
      <c r="J178" s="61">
        <v>3.472222222222222E-3</v>
      </c>
      <c r="K178" s="62"/>
      <c r="L178" s="6"/>
      <c r="M178" s="6"/>
      <c r="N178" s="6"/>
    </row>
    <row r="179" spans="1:14" ht="88.2">
      <c r="A179" s="11"/>
      <c r="B179" s="122"/>
      <c r="C179" s="77"/>
      <c r="D179" s="109" t="s">
        <v>183</v>
      </c>
      <c r="E179" s="110"/>
      <c r="F179" s="111"/>
      <c r="G179" s="58" t="s">
        <v>313</v>
      </c>
      <c r="H179" s="59"/>
      <c r="I179" s="60" t="s">
        <v>24</v>
      </c>
      <c r="J179" s="61">
        <v>6.9444444444444441E-3</v>
      </c>
      <c r="K179" s="62"/>
      <c r="L179" s="6"/>
      <c r="M179" s="6"/>
      <c r="N179" s="6"/>
    </row>
    <row r="180" spans="1:14" ht="163.80000000000001">
      <c r="A180" s="11"/>
      <c r="B180" s="123"/>
      <c r="C180" s="58" t="str">
        <f>master!C155</f>
        <v>[解説] Controllerのテストクラス（抜粋）</v>
      </c>
      <c r="D180" s="109" t="s">
        <v>276</v>
      </c>
      <c r="E180" s="110"/>
      <c r="F180" s="111"/>
      <c r="G180" s="58" t="s">
        <v>314</v>
      </c>
      <c r="H180" s="59"/>
      <c r="I180" s="60" t="s">
        <v>24</v>
      </c>
      <c r="J180" s="61">
        <v>6.9444444444444441E-3</v>
      </c>
      <c r="K180" s="62"/>
      <c r="L180" s="6"/>
      <c r="M180" s="6"/>
      <c r="N180" s="6"/>
    </row>
    <row r="181" spans="1:14" ht="165" customHeight="1">
      <c r="A181" s="11"/>
      <c r="B181" s="121" t="str">
        <f>master!B156</f>
        <v>課題2の実施</v>
      </c>
      <c r="C181" s="58" t="str">
        <f>master!C156</f>
        <v>ここから各自で演習を始めましょう。</v>
      </c>
      <c r="D181" s="109" t="s">
        <v>277</v>
      </c>
      <c r="E181" s="110"/>
      <c r="F181" s="111"/>
      <c r="G181" s="58" t="s">
        <v>314</v>
      </c>
      <c r="H181" s="59"/>
      <c r="I181" s="60" t="s">
        <v>24</v>
      </c>
      <c r="J181" s="61" t="s">
        <v>338</v>
      </c>
      <c r="K181" s="62"/>
      <c r="L181" s="6"/>
      <c r="M181" s="6"/>
      <c r="N181" s="6"/>
    </row>
    <row r="182" spans="1:14" ht="151.19999999999999">
      <c r="A182" s="11"/>
      <c r="B182" s="123"/>
      <c r="C182" s="58" t="str">
        <f>master!C157</f>
        <v>[終了条件] 講師配布のテストプログラム(JUnit)が成功すること</v>
      </c>
      <c r="D182" s="109" t="s">
        <v>337</v>
      </c>
      <c r="E182" s="110"/>
      <c r="F182" s="111"/>
      <c r="G182" s="58" t="s">
        <v>336</v>
      </c>
      <c r="H182" s="59"/>
      <c r="I182" s="60" t="s">
        <v>49</v>
      </c>
      <c r="J182" s="61" t="s">
        <v>338</v>
      </c>
      <c r="K182" s="62" t="s">
        <v>428</v>
      </c>
      <c r="L182" s="6"/>
      <c r="M182" s="6"/>
      <c r="N182" s="6"/>
    </row>
    <row r="183" spans="1:14" ht="163.80000000000001">
      <c r="A183" s="11"/>
      <c r="B183" s="121" t="str">
        <f>master!B159</f>
        <v>追加課題</v>
      </c>
      <c r="C183" s="58" t="str">
        <f>master!C159</f>
        <v>演習課題の概要</v>
      </c>
      <c r="D183" s="109" t="s">
        <v>279</v>
      </c>
      <c r="E183" s="110"/>
      <c r="F183" s="111"/>
      <c r="G183" s="58" t="s">
        <v>334</v>
      </c>
      <c r="H183" s="59"/>
      <c r="I183" s="60" t="s">
        <v>49</v>
      </c>
      <c r="J183" s="61" t="s">
        <v>338</v>
      </c>
      <c r="K183" s="62" t="s">
        <v>427</v>
      </c>
      <c r="L183" s="6"/>
      <c r="M183" s="6"/>
      <c r="N183" s="6"/>
    </row>
    <row r="184" spans="1:14" ht="25.2">
      <c r="A184" s="11"/>
      <c r="B184" s="122"/>
      <c r="C184" s="58" t="str">
        <f>master!C160</f>
        <v>追加課題①：送料の表示機能</v>
      </c>
      <c r="D184" s="109" t="s">
        <v>281</v>
      </c>
      <c r="E184" s="110"/>
      <c r="F184" s="111"/>
      <c r="G184" s="58" t="s">
        <v>335</v>
      </c>
      <c r="H184" s="59"/>
      <c r="I184" s="60" t="s">
        <v>49</v>
      </c>
      <c r="J184" s="61" t="s">
        <v>338</v>
      </c>
      <c r="K184" s="62" t="s">
        <v>427</v>
      </c>
      <c r="L184" s="6"/>
      <c r="M184" s="6"/>
      <c r="N184" s="6"/>
    </row>
    <row r="185" spans="1:14" ht="25.2">
      <c r="A185" s="11"/>
      <c r="B185" s="122"/>
      <c r="C185" s="58" t="str">
        <f>master!C161</f>
        <v>追加課題②：クーポン機能</v>
      </c>
      <c r="D185" s="109" t="s">
        <v>281</v>
      </c>
      <c r="E185" s="110"/>
      <c r="F185" s="111"/>
      <c r="G185" s="58" t="s">
        <v>335</v>
      </c>
      <c r="H185" s="59"/>
      <c r="I185" s="60" t="s">
        <v>49</v>
      </c>
      <c r="J185" s="61" t="s">
        <v>338</v>
      </c>
      <c r="K185" s="62" t="s">
        <v>427</v>
      </c>
      <c r="L185" s="6"/>
      <c r="M185" s="6"/>
      <c r="N185" s="6"/>
    </row>
    <row r="186" spans="1:14" ht="25.2">
      <c r="A186" s="11"/>
      <c r="B186" s="123"/>
      <c r="C186" s="58" t="str">
        <f>master!C162</f>
        <v>追加課題③：ユーザーアカウント機能</v>
      </c>
      <c r="D186" s="109" t="s">
        <v>281</v>
      </c>
      <c r="E186" s="110"/>
      <c r="F186" s="111"/>
      <c r="G186" s="58" t="s">
        <v>335</v>
      </c>
      <c r="H186" s="59"/>
      <c r="I186" s="60" t="s">
        <v>49</v>
      </c>
      <c r="J186" s="61" t="s">
        <v>338</v>
      </c>
      <c r="K186" s="62" t="s">
        <v>427</v>
      </c>
      <c r="L186" s="6"/>
      <c r="M186" s="6"/>
      <c r="N186" s="6"/>
    </row>
    <row r="187" spans="1:14" ht="176.4">
      <c r="A187" s="11"/>
      <c r="B187" s="121" t="str">
        <f>master!B164</f>
        <v>演習の振り返り</v>
      </c>
      <c r="C187" s="58" t="str">
        <f>master!C164</f>
        <v>アプリケーションの比較・分析</v>
      </c>
      <c r="D187" s="109" t="s">
        <v>438</v>
      </c>
      <c r="E187" s="110"/>
      <c r="F187" s="111"/>
      <c r="G187" s="58" t="s">
        <v>429</v>
      </c>
      <c r="H187" s="59"/>
      <c r="I187" s="60" t="s">
        <v>24</v>
      </c>
      <c r="J187" s="61">
        <v>2.0833333333333332E-2</v>
      </c>
      <c r="K187" s="62"/>
      <c r="L187" s="6"/>
      <c r="M187" s="6"/>
      <c r="N187" s="6"/>
    </row>
    <row r="188" spans="1:14" ht="63">
      <c r="A188" s="11"/>
      <c r="B188" s="122"/>
      <c r="C188" s="58" t="str">
        <f>master!C165</f>
        <v>改善点の整理</v>
      </c>
      <c r="D188" s="109" t="s">
        <v>437</v>
      </c>
      <c r="E188" s="110"/>
      <c r="F188" s="111"/>
      <c r="G188" s="58" t="s">
        <v>430</v>
      </c>
      <c r="H188" s="59"/>
      <c r="I188" s="60" t="s">
        <v>24</v>
      </c>
      <c r="J188" s="61">
        <v>2.0833333333333332E-2</v>
      </c>
      <c r="K188" s="62"/>
      <c r="L188" s="6"/>
      <c r="M188" s="6"/>
      <c r="N188" s="6"/>
    </row>
    <row r="189" spans="1:14" ht="63">
      <c r="A189" s="11"/>
      <c r="B189" s="123"/>
      <c r="C189" s="58" t="str">
        <f>master!C166</f>
        <v>分析結果の共有</v>
      </c>
      <c r="D189" s="109" t="s">
        <v>435</v>
      </c>
      <c r="E189" s="110"/>
      <c r="F189" s="111"/>
      <c r="G189" s="58" t="s">
        <v>430</v>
      </c>
      <c r="H189" s="59"/>
      <c r="I189" s="60" t="s">
        <v>24</v>
      </c>
      <c r="J189" s="61">
        <v>2.0833333333333332E-2</v>
      </c>
      <c r="K189" s="62"/>
      <c r="L189" s="6"/>
      <c r="M189" s="6"/>
      <c r="N189" s="6"/>
    </row>
    <row r="190" spans="1:14" ht="15" customHeight="1">
      <c r="J190" s="43"/>
    </row>
    <row r="191" spans="1:14" ht="15" customHeight="1"/>
  </sheetData>
  <mergeCells count="204">
    <mergeCell ref="B137:B139"/>
    <mergeCell ref="B162:B163"/>
    <mergeCell ref="D164:F164"/>
    <mergeCell ref="D187:F187"/>
    <mergeCell ref="D184:F184"/>
    <mergeCell ref="D183:F183"/>
    <mergeCell ref="D165:F165"/>
    <mergeCell ref="D166:F166"/>
    <mergeCell ref="D167:F167"/>
    <mergeCell ref="D180:F180"/>
    <mergeCell ref="D181:F181"/>
    <mergeCell ref="D168:F168"/>
    <mergeCell ref="D169:F169"/>
    <mergeCell ref="D177:F177"/>
    <mergeCell ref="D171:F171"/>
    <mergeCell ref="D173:F173"/>
    <mergeCell ref="D174:F174"/>
    <mergeCell ref="B169:B180"/>
    <mergeCell ref="B165:B168"/>
    <mergeCell ref="B140:B143"/>
    <mergeCell ref="B144:B161"/>
    <mergeCell ref="D139:F139"/>
    <mergeCell ref="D140:F140"/>
    <mergeCell ref="D141:F141"/>
    <mergeCell ref="D160:F160"/>
    <mergeCell ref="D161:F161"/>
    <mergeCell ref="D143:F143"/>
    <mergeCell ref="D155:F155"/>
    <mergeCell ref="D156:F156"/>
    <mergeCell ref="D157:F157"/>
    <mergeCell ref="D158:F158"/>
    <mergeCell ref="D159:F159"/>
    <mergeCell ref="D154:F154"/>
    <mergeCell ref="D153:F153"/>
    <mergeCell ref="D149:F149"/>
    <mergeCell ref="D150:F150"/>
    <mergeCell ref="D151:F151"/>
    <mergeCell ref="D152:F152"/>
    <mergeCell ref="D115:F115"/>
    <mergeCell ref="D114:F114"/>
    <mergeCell ref="D113:F113"/>
    <mergeCell ref="D142:F142"/>
    <mergeCell ref="D144:F144"/>
    <mergeCell ref="D145:F145"/>
    <mergeCell ref="D146:F146"/>
    <mergeCell ref="D147:F147"/>
    <mergeCell ref="D148:F148"/>
    <mergeCell ref="B55:B57"/>
    <mergeCell ref="D69:F69"/>
    <mergeCell ref="D70:F70"/>
    <mergeCell ref="D71:F71"/>
    <mergeCell ref="D72:F72"/>
    <mergeCell ref="D62:F62"/>
    <mergeCell ref="D56:F56"/>
    <mergeCell ref="D57:F57"/>
    <mergeCell ref="D58:F58"/>
    <mergeCell ref="D59:F59"/>
    <mergeCell ref="D66:F66"/>
    <mergeCell ref="D67:F67"/>
    <mergeCell ref="D60:F60"/>
    <mergeCell ref="D61:F61"/>
    <mergeCell ref="D63:F63"/>
    <mergeCell ref="D64:F64"/>
    <mergeCell ref="D65:F65"/>
    <mergeCell ref="D68:F68"/>
    <mergeCell ref="D55:F55"/>
    <mergeCell ref="B62:B70"/>
    <mergeCell ref="B58:B61"/>
    <mergeCell ref="B71:B90"/>
    <mergeCell ref="D84:F84"/>
    <mergeCell ref="D86:F86"/>
    <mergeCell ref="B28:B35"/>
    <mergeCell ref="B36:B54"/>
    <mergeCell ref="D49:F49"/>
    <mergeCell ref="D50:F50"/>
    <mergeCell ref="D51:F51"/>
    <mergeCell ref="D52:F52"/>
    <mergeCell ref="D53:F53"/>
    <mergeCell ref="D37:F37"/>
    <mergeCell ref="D38:F38"/>
    <mergeCell ref="D39:F39"/>
    <mergeCell ref="D40:F40"/>
    <mergeCell ref="D41:F41"/>
    <mergeCell ref="D42:F42"/>
    <mergeCell ref="D43:F43"/>
    <mergeCell ref="D44:F44"/>
    <mergeCell ref="D45:F45"/>
    <mergeCell ref="D46:F46"/>
    <mergeCell ref="D47:F47"/>
    <mergeCell ref="D48:F48"/>
    <mergeCell ref="D54:F54"/>
    <mergeCell ref="D36:F36"/>
    <mergeCell ref="D34:F34"/>
    <mergeCell ref="D29:F29"/>
    <mergeCell ref="D30:F30"/>
    <mergeCell ref="B4:E4"/>
    <mergeCell ref="B5:K5"/>
    <mergeCell ref="D19:F20"/>
    <mergeCell ref="G19:G20"/>
    <mergeCell ref="B19:B20"/>
    <mergeCell ref="C19:C20"/>
    <mergeCell ref="K19:K20"/>
    <mergeCell ref="D7:E7"/>
    <mergeCell ref="B22:B27"/>
    <mergeCell ref="D25:F25"/>
    <mergeCell ref="D27:F27"/>
    <mergeCell ref="D24:F24"/>
    <mergeCell ref="D26:F26"/>
    <mergeCell ref="D91:F91"/>
    <mergeCell ref="D76:F76"/>
    <mergeCell ref="I19:J19"/>
    <mergeCell ref="H19:H20"/>
    <mergeCell ref="D78:F78"/>
    <mergeCell ref="D80:F80"/>
    <mergeCell ref="D74:F74"/>
    <mergeCell ref="D85:F85"/>
    <mergeCell ref="D90:F90"/>
    <mergeCell ref="D82:F82"/>
    <mergeCell ref="D83:F83"/>
    <mergeCell ref="D87:F87"/>
    <mergeCell ref="D88:F88"/>
    <mergeCell ref="D89:F89"/>
    <mergeCell ref="D77:F77"/>
    <mergeCell ref="D79:F79"/>
    <mergeCell ref="D81:F81"/>
    <mergeCell ref="D75:F75"/>
    <mergeCell ref="D73:F73"/>
    <mergeCell ref="D21:F21"/>
    <mergeCell ref="D35:F35"/>
    <mergeCell ref="D22:F22"/>
    <mergeCell ref="D28:F28"/>
    <mergeCell ref="D23:F23"/>
    <mergeCell ref="D31:F31"/>
    <mergeCell ref="D32:F32"/>
    <mergeCell ref="D33:F33"/>
    <mergeCell ref="D189:F189"/>
    <mergeCell ref="B187:B189"/>
    <mergeCell ref="D170:F170"/>
    <mergeCell ref="D172:F172"/>
    <mergeCell ref="D175:F175"/>
    <mergeCell ref="D176:F176"/>
    <mergeCell ref="D178:F178"/>
    <mergeCell ref="D179:F179"/>
    <mergeCell ref="B183:B186"/>
    <mergeCell ref="D182:F182"/>
    <mergeCell ref="B181:B182"/>
    <mergeCell ref="D93:F93"/>
    <mergeCell ref="D94:F94"/>
    <mergeCell ref="D95:F95"/>
    <mergeCell ref="D96:F96"/>
    <mergeCell ref="D97:F97"/>
    <mergeCell ref="D98:F98"/>
    <mergeCell ref="D100:F100"/>
    <mergeCell ref="D122:F122"/>
    <mergeCell ref="D186:F186"/>
    <mergeCell ref="D185:F185"/>
    <mergeCell ref="D101:F101"/>
    <mergeCell ref="D102:F102"/>
    <mergeCell ref="B119:B123"/>
    <mergeCell ref="B113:B118"/>
    <mergeCell ref="B108:B112"/>
    <mergeCell ref="B99:B107"/>
    <mergeCell ref="D162:F162"/>
    <mergeCell ref="D163:F163"/>
    <mergeCell ref="D138:F138"/>
    <mergeCell ref="D137:F137"/>
    <mergeCell ref="D111:F111"/>
    <mergeCell ref="D110:F110"/>
    <mergeCell ref="D109:F109"/>
    <mergeCell ref="D112:F112"/>
    <mergeCell ref="D103:F103"/>
    <mergeCell ref="D104:F104"/>
    <mergeCell ref="D105:F105"/>
    <mergeCell ref="D106:F106"/>
    <mergeCell ref="D107:F107"/>
    <mergeCell ref="D120:F120"/>
    <mergeCell ref="D119:F119"/>
    <mergeCell ref="D118:F118"/>
    <mergeCell ref="D117:F117"/>
    <mergeCell ref="D116:F116"/>
    <mergeCell ref="D188:F188"/>
    <mergeCell ref="B94:B98"/>
    <mergeCell ref="B91:B93"/>
    <mergeCell ref="D124:F124"/>
    <mergeCell ref="D135:F135"/>
    <mergeCell ref="D133:F133"/>
    <mergeCell ref="D131:F131"/>
    <mergeCell ref="D132:F132"/>
    <mergeCell ref="D129:F129"/>
    <mergeCell ref="D130:F130"/>
    <mergeCell ref="D127:F127"/>
    <mergeCell ref="D128:F128"/>
    <mergeCell ref="D125:F125"/>
    <mergeCell ref="D126:F126"/>
    <mergeCell ref="D134:F134"/>
    <mergeCell ref="B132:B135"/>
    <mergeCell ref="B127:B131"/>
    <mergeCell ref="B124:B126"/>
    <mergeCell ref="D108:F108"/>
    <mergeCell ref="D121:F121"/>
    <mergeCell ref="D92:F92"/>
    <mergeCell ref="D99:F99"/>
    <mergeCell ref="D123:F123"/>
    <mergeCell ref="D136:F136"/>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H21:H189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7"/>
  <sheetViews>
    <sheetView workbookViewId="0"/>
  </sheetViews>
  <sheetFormatPr defaultColWidth="8.88671875" defaultRowHeight="13.2"/>
  <cols>
    <col min="1" max="1" width="4.6640625" customWidth="1"/>
    <col min="2" max="2" width="40.109375" customWidth="1"/>
    <col min="3" max="3" width="44" bestFit="1" customWidth="1"/>
  </cols>
  <sheetData>
    <row r="1" spans="2:3">
      <c r="B1" t="s">
        <v>53</v>
      </c>
    </row>
    <row r="2" spans="2:3">
      <c r="B2" s="80" t="s">
        <v>12</v>
      </c>
      <c r="C2" s="80" t="s">
        <v>13</v>
      </c>
    </row>
    <row r="3" spans="2:3">
      <c r="B3" t="s">
        <v>321</v>
      </c>
      <c r="C3" t="s">
        <v>54</v>
      </c>
    </row>
    <row r="4" spans="2:3">
      <c r="B4" t="s">
        <v>56</v>
      </c>
      <c r="C4" t="s">
        <v>55</v>
      </c>
    </row>
    <row r="5" spans="2:3">
      <c r="C5" t="s">
        <v>59</v>
      </c>
    </row>
    <row r="6" spans="2:3">
      <c r="C6" t="s">
        <v>86</v>
      </c>
    </row>
    <row r="7" spans="2:3">
      <c r="C7" t="s">
        <v>87</v>
      </c>
    </row>
    <row r="8" spans="2:3">
      <c r="C8" t="s">
        <v>60</v>
      </c>
    </row>
    <row r="9" spans="2:3">
      <c r="B9" t="s">
        <v>57</v>
      </c>
      <c r="C9" t="s">
        <v>57</v>
      </c>
    </row>
    <row r="10" spans="2:3">
      <c r="C10" t="s">
        <v>61</v>
      </c>
    </row>
    <row r="11" spans="2:3">
      <c r="C11" t="s">
        <v>62</v>
      </c>
    </row>
    <row r="12" spans="2:3">
      <c r="C12" t="s">
        <v>63</v>
      </c>
    </row>
    <row r="13" spans="2:3">
      <c r="C13" t="s">
        <v>64</v>
      </c>
    </row>
    <row r="14" spans="2:3">
      <c r="C14" t="s">
        <v>65</v>
      </c>
    </row>
    <row r="15" spans="2:3">
      <c r="C15" t="s">
        <v>66</v>
      </c>
    </row>
    <row r="16" spans="2:3">
      <c r="C16" t="s">
        <v>67</v>
      </c>
    </row>
    <row r="17" spans="2:3">
      <c r="B17" t="s">
        <v>58</v>
      </c>
      <c r="C17" t="s">
        <v>68</v>
      </c>
    </row>
    <row r="18" spans="2:3">
      <c r="C18" t="s">
        <v>69</v>
      </c>
    </row>
    <row r="19" spans="2:3">
      <c r="C19" t="s">
        <v>70</v>
      </c>
    </row>
    <row r="20" spans="2:3">
      <c r="C20" t="s">
        <v>71</v>
      </c>
    </row>
    <row r="21" spans="2:3">
      <c r="C21" t="s">
        <v>72</v>
      </c>
    </row>
    <row r="22" spans="2:3">
      <c r="C22" t="s">
        <v>73</v>
      </c>
    </row>
    <row r="23" spans="2:3">
      <c r="C23" t="s">
        <v>72</v>
      </c>
    </row>
    <row r="24" spans="2:3">
      <c r="C24" t="s">
        <v>74</v>
      </c>
    </row>
    <row r="25" spans="2:3">
      <c r="C25" t="s">
        <v>75</v>
      </c>
    </row>
    <row r="26" spans="2:3">
      <c r="C26" t="s">
        <v>76</v>
      </c>
    </row>
    <row r="27" spans="2:3">
      <c r="C27" t="s">
        <v>77</v>
      </c>
    </row>
    <row r="28" spans="2:3">
      <c r="C28" t="s">
        <v>78</v>
      </c>
    </row>
    <row r="29" spans="2:3">
      <c r="C29" t="s">
        <v>79</v>
      </c>
    </row>
    <row r="30" spans="2:3">
      <c r="C30" t="s">
        <v>80</v>
      </c>
    </row>
    <row r="31" spans="2:3">
      <c r="C31" t="s">
        <v>81</v>
      </c>
    </row>
    <row r="32" spans="2:3">
      <c r="C32" t="s">
        <v>82</v>
      </c>
    </row>
    <row r="33" spans="2:3">
      <c r="C33" t="s">
        <v>83</v>
      </c>
    </row>
    <row r="34" spans="2:3">
      <c r="C34" t="s">
        <v>84</v>
      </c>
    </row>
    <row r="35" spans="2:3">
      <c r="C35" t="s">
        <v>85</v>
      </c>
    </row>
    <row r="36" spans="2:3">
      <c r="B36" s="81"/>
      <c r="C36" s="81"/>
    </row>
    <row r="37" spans="2:3">
      <c r="B37" t="s">
        <v>322</v>
      </c>
      <c r="C37" t="s">
        <v>164</v>
      </c>
    </row>
    <row r="38" spans="2:3">
      <c r="C38" t="s">
        <v>133</v>
      </c>
    </row>
    <row r="39" spans="2:3">
      <c r="C39" t="s">
        <v>134</v>
      </c>
    </row>
    <row r="40" spans="2:3">
      <c r="B40" t="s">
        <v>162</v>
      </c>
      <c r="C40" t="s">
        <v>135</v>
      </c>
    </row>
    <row r="41" spans="2:3">
      <c r="C41" t="s">
        <v>136</v>
      </c>
    </row>
    <row r="42" spans="2:3">
      <c r="C42" t="s">
        <v>137</v>
      </c>
    </row>
    <row r="43" spans="2:3">
      <c r="C43" t="s">
        <v>138</v>
      </c>
    </row>
    <row r="44" spans="2:3">
      <c r="B44" t="s">
        <v>139</v>
      </c>
      <c r="C44" t="s">
        <v>140</v>
      </c>
    </row>
    <row r="45" spans="2:3">
      <c r="C45" t="s">
        <v>141</v>
      </c>
    </row>
    <row r="46" spans="2:3">
      <c r="C46" t="s">
        <v>142</v>
      </c>
    </row>
    <row r="47" spans="2:3">
      <c r="C47" t="s">
        <v>143</v>
      </c>
    </row>
    <row r="48" spans="2:3">
      <c r="C48" t="s">
        <v>175</v>
      </c>
    </row>
    <row r="49" spans="2:3">
      <c r="C49" t="s">
        <v>144</v>
      </c>
    </row>
    <row r="50" spans="2:3">
      <c r="C50" t="s">
        <v>145</v>
      </c>
    </row>
    <row r="51" spans="2:3">
      <c r="C51" t="s">
        <v>146</v>
      </c>
    </row>
    <row r="52" spans="2:3">
      <c r="C52" t="s">
        <v>147</v>
      </c>
    </row>
    <row r="53" spans="2:3">
      <c r="B53" t="s">
        <v>320</v>
      </c>
      <c r="C53" t="s">
        <v>148</v>
      </c>
    </row>
    <row r="54" spans="2:3">
      <c r="C54" t="s">
        <v>149</v>
      </c>
    </row>
    <row r="55" spans="2:3">
      <c r="C55" t="s">
        <v>150</v>
      </c>
    </row>
    <row r="56" spans="2:3">
      <c r="C56" t="s">
        <v>151</v>
      </c>
    </row>
    <row r="57" spans="2:3">
      <c r="C57" t="s">
        <v>152</v>
      </c>
    </row>
    <row r="58" spans="2:3">
      <c r="C58" t="s">
        <v>153</v>
      </c>
    </row>
    <row r="59" spans="2:3">
      <c r="C59" t="s">
        <v>154</v>
      </c>
    </row>
    <row r="60" spans="2:3">
      <c r="C60" t="s">
        <v>155</v>
      </c>
    </row>
    <row r="61" spans="2:3">
      <c r="C61" t="s">
        <v>156</v>
      </c>
    </row>
    <row r="62" spans="2:3">
      <c r="C62" t="s">
        <v>157</v>
      </c>
    </row>
    <row r="63" spans="2:3">
      <c r="C63" t="s">
        <v>158</v>
      </c>
    </row>
    <row r="64" spans="2:3">
      <c r="C64" t="s">
        <v>171</v>
      </c>
    </row>
    <row r="65" spans="2:3">
      <c r="C65" t="s">
        <v>159</v>
      </c>
    </row>
    <row r="66" spans="2:3">
      <c r="C66" t="s">
        <v>160</v>
      </c>
    </row>
    <row r="67" spans="2:3">
      <c r="B67" t="s">
        <v>319</v>
      </c>
      <c r="C67" t="s">
        <v>161</v>
      </c>
    </row>
    <row r="68" spans="2:3">
      <c r="B68" s="81"/>
      <c r="C68" s="81"/>
    </row>
    <row r="69" spans="2:3">
      <c r="B69" t="s">
        <v>163</v>
      </c>
      <c r="C69" t="s">
        <v>339</v>
      </c>
    </row>
    <row r="70" spans="2:3">
      <c r="C70" t="s">
        <v>340</v>
      </c>
    </row>
    <row r="71" spans="2:3">
      <c r="C71" t="s">
        <v>341</v>
      </c>
    </row>
    <row r="72" spans="2:3">
      <c r="B72" t="s">
        <v>342</v>
      </c>
      <c r="C72" t="s">
        <v>339</v>
      </c>
    </row>
    <row r="73" spans="2:3">
      <c r="C73" t="s">
        <v>343</v>
      </c>
    </row>
    <row r="74" spans="2:3">
      <c r="C74" t="s">
        <v>344</v>
      </c>
    </row>
    <row r="75" spans="2:3">
      <c r="C75" t="s">
        <v>345</v>
      </c>
    </row>
    <row r="76" spans="2:3">
      <c r="C76" t="s">
        <v>346</v>
      </c>
    </row>
    <row r="77" spans="2:3">
      <c r="B77" t="s">
        <v>347</v>
      </c>
      <c r="C77" t="s">
        <v>339</v>
      </c>
    </row>
    <row r="78" spans="2:3">
      <c r="C78" t="s">
        <v>348</v>
      </c>
    </row>
    <row r="79" spans="2:3">
      <c r="C79" t="s">
        <v>349</v>
      </c>
    </row>
    <row r="80" spans="2:3">
      <c r="C80" t="s">
        <v>350</v>
      </c>
    </row>
    <row r="81" spans="2:3">
      <c r="C81" t="s">
        <v>351</v>
      </c>
    </row>
    <row r="82" spans="2:3">
      <c r="C82" t="s">
        <v>352</v>
      </c>
    </row>
    <row r="83" spans="2:3">
      <c r="C83" t="s">
        <v>353</v>
      </c>
    </row>
    <row r="84" spans="2:3">
      <c r="C84" t="s">
        <v>354</v>
      </c>
    </row>
    <row r="85" spans="2:3">
      <c r="C85" t="s">
        <v>431</v>
      </c>
    </row>
    <row r="86" spans="2:3">
      <c r="B86" t="s">
        <v>355</v>
      </c>
      <c r="C86" t="s">
        <v>339</v>
      </c>
    </row>
    <row r="87" spans="2:3">
      <c r="C87" t="s">
        <v>439</v>
      </c>
    </row>
    <row r="88" spans="2:3">
      <c r="C88" t="s">
        <v>370</v>
      </c>
    </row>
    <row r="89" spans="2:3">
      <c r="C89" t="s">
        <v>369</v>
      </c>
    </row>
    <row r="90" spans="2:3">
      <c r="C90" t="s">
        <v>368</v>
      </c>
    </row>
    <row r="91" spans="2:3">
      <c r="B91" t="s">
        <v>356</v>
      </c>
      <c r="C91" t="s">
        <v>339</v>
      </c>
    </row>
    <row r="92" spans="2:3">
      <c r="C92" t="s">
        <v>357</v>
      </c>
    </row>
    <row r="93" spans="2:3">
      <c r="C93" t="s">
        <v>367</v>
      </c>
    </row>
    <row r="94" spans="2:3">
      <c r="C94" t="s">
        <v>366</v>
      </c>
    </row>
    <row r="95" spans="2:3">
      <c r="C95" t="s">
        <v>365</v>
      </c>
    </row>
    <row r="96" spans="2:3">
      <c r="C96" t="s">
        <v>358</v>
      </c>
    </row>
    <row r="97" spans="2:3">
      <c r="B97" t="s">
        <v>359</v>
      </c>
      <c r="C97" t="s">
        <v>361</v>
      </c>
    </row>
    <row r="98" spans="2:3">
      <c r="C98" t="s">
        <v>360</v>
      </c>
    </row>
    <row r="99" spans="2:3">
      <c r="C99" t="s">
        <v>362</v>
      </c>
    </row>
    <row r="100" spans="2:3">
      <c r="C100" t="s">
        <v>363</v>
      </c>
    </row>
    <row r="101" spans="2:3">
      <c r="C101" t="s">
        <v>364</v>
      </c>
    </row>
    <row r="102" spans="2:3">
      <c r="B102" s="81"/>
      <c r="C102" s="81"/>
    </row>
    <row r="103" spans="2:3">
      <c r="B103" t="s">
        <v>444</v>
      </c>
      <c r="C103" t="s">
        <v>339</v>
      </c>
    </row>
    <row r="104" spans="2:3">
      <c r="C104" s="82" t="s">
        <v>445</v>
      </c>
    </row>
    <row r="105" spans="2:3">
      <c r="C105" s="82" t="s">
        <v>446</v>
      </c>
    </row>
    <row r="106" spans="2:3">
      <c r="B106" t="s">
        <v>362</v>
      </c>
      <c r="C106" s="83" t="s">
        <v>371</v>
      </c>
    </row>
    <row r="107" spans="2:3">
      <c r="C107" s="79" t="s">
        <v>348</v>
      </c>
    </row>
    <row r="108" spans="2:3">
      <c r="C108" s="79" t="s">
        <v>350</v>
      </c>
    </row>
    <row r="109" spans="2:3">
      <c r="C109" s="79" t="s">
        <v>440</v>
      </c>
    </row>
    <row r="110" spans="2:3">
      <c r="C110" s="79" t="s">
        <v>352</v>
      </c>
    </row>
    <row r="111" spans="2:3">
      <c r="B111" t="s">
        <v>356</v>
      </c>
      <c r="C111" s="79" t="s">
        <v>371</v>
      </c>
    </row>
    <row r="112" spans="2:3">
      <c r="C112" s="79" t="s">
        <v>441</v>
      </c>
    </row>
    <row r="113" spans="2:3">
      <c r="C113" s="79" t="s">
        <v>442</v>
      </c>
    </row>
    <row r="114" spans="2:3">
      <c r="C114" s="79" t="s">
        <v>443</v>
      </c>
    </row>
    <row r="115" spans="2:3">
      <c r="B115" s="81"/>
      <c r="C115" s="81"/>
    </row>
    <row r="116" spans="2:3">
      <c r="B116" t="s">
        <v>323</v>
      </c>
      <c r="C116" s="79" t="s">
        <v>54</v>
      </c>
    </row>
    <row r="117" spans="2:3">
      <c r="C117" s="82" t="s">
        <v>199</v>
      </c>
    </row>
    <row r="118" spans="2:3">
      <c r="C118" s="82" t="s">
        <v>200</v>
      </c>
    </row>
    <row r="119" spans="2:3">
      <c r="B119" t="s">
        <v>218</v>
      </c>
      <c r="C119" s="82" t="s">
        <v>201</v>
      </c>
    </row>
    <row r="120" spans="2:3">
      <c r="C120" s="82" t="s">
        <v>202</v>
      </c>
    </row>
    <row r="121" spans="2:3">
      <c r="C121" s="83" t="s">
        <v>203</v>
      </c>
    </row>
    <row r="122" spans="2:3">
      <c r="C122" s="79" t="s">
        <v>204</v>
      </c>
    </row>
    <row r="123" spans="2:3">
      <c r="B123" t="s">
        <v>219</v>
      </c>
      <c r="C123" s="79" t="s">
        <v>214</v>
      </c>
    </row>
    <row r="124" spans="2:3">
      <c r="C124" s="79" t="s">
        <v>205</v>
      </c>
    </row>
    <row r="125" spans="2:3">
      <c r="C125" s="79" t="s">
        <v>220</v>
      </c>
    </row>
    <row r="126" spans="2:3">
      <c r="C126" s="79" t="s">
        <v>221</v>
      </c>
    </row>
    <row r="127" spans="2:3">
      <c r="C127" t="s">
        <v>222</v>
      </c>
    </row>
    <row r="128" spans="2:3">
      <c r="C128" s="79" t="s">
        <v>206</v>
      </c>
    </row>
    <row r="129" spans="2:3">
      <c r="C129" s="79" t="s">
        <v>223</v>
      </c>
    </row>
    <row r="130" spans="2:3">
      <c r="C130" s="79" t="s">
        <v>224</v>
      </c>
    </row>
    <row r="131" spans="2:3">
      <c r="C131" s="79" t="s">
        <v>225</v>
      </c>
    </row>
    <row r="132" spans="2:3">
      <c r="C132" s="79" t="s">
        <v>207</v>
      </c>
    </row>
    <row r="133" spans="2:3">
      <c r="C133" s="79" t="s">
        <v>208</v>
      </c>
    </row>
    <row r="134" spans="2:3">
      <c r="C134" s="79" t="s">
        <v>209</v>
      </c>
    </row>
    <row r="135" spans="2:3">
      <c r="C135" s="79" t="s">
        <v>210</v>
      </c>
    </row>
    <row r="136" spans="2:3">
      <c r="C136" s="79" t="s">
        <v>211</v>
      </c>
    </row>
    <row r="137" spans="2:3">
      <c r="C137" s="79" t="s">
        <v>212</v>
      </c>
    </row>
    <row r="138" spans="2:3">
      <c r="C138" s="79" t="s">
        <v>213</v>
      </c>
    </row>
    <row r="139" spans="2:3">
      <c r="C139" s="79" t="s">
        <v>215</v>
      </c>
    </row>
    <row r="140" spans="2:3">
      <c r="C140" s="79" t="s">
        <v>216</v>
      </c>
    </row>
    <row r="141" spans="2:3">
      <c r="B141" s="79" t="s">
        <v>317</v>
      </c>
      <c r="C141" s="79" t="s">
        <v>217</v>
      </c>
    </row>
    <row r="142" spans="2:3">
      <c r="C142" s="79" t="s">
        <v>226</v>
      </c>
    </row>
    <row r="143" spans="2:3">
      <c r="B143" s="81"/>
      <c r="C143" s="81"/>
    </row>
    <row r="144" spans="2:3">
      <c r="B144" t="s">
        <v>324</v>
      </c>
      <c r="C144" t="s">
        <v>164</v>
      </c>
    </row>
    <row r="145" spans="2:3">
      <c r="C145" t="s">
        <v>252</v>
      </c>
    </row>
    <row r="146" spans="2:3">
      <c r="C146" s="79" t="s">
        <v>253</v>
      </c>
    </row>
    <row r="147" spans="2:3">
      <c r="C147" s="79" t="s">
        <v>254</v>
      </c>
    </row>
    <row r="148" spans="2:3">
      <c r="B148" t="s">
        <v>320</v>
      </c>
      <c r="C148" s="79" t="s">
        <v>255</v>
      </c>
    </row>
    <row r="149" spans="2:3">
      <c r="C149" s="79" t="s">
        <v>263</v>
      </c>
    </row>
    <row r="150" spans="2:3">
      <c r="C150" s="79" t="s">
        <v>264</v>
      </c>
    </row>
    <row r="151" spans="2:3">
      <c r="C151" s="79" t="s">
        <v>256</v>
      </c>
    </row>
    <row r="152" spans="2:3">
      <c r="C152" s="79" t="s">
        <v>265</v>
      </c>
    </row>
    <row r="153" spans="2:3">
      <c r="C153" s="79" t="s">
        <v>257</v>
      </c>
    </row>
    <row r="154" spans="2:3">
      <c r="C154" s="79" t="s">
        <v>266</v>
      </c>
    </row>
    <row r="155" spans="2:3">
      <c r="C155" s="79" t="s">
        <v>258</v>
      </c>
    </row>
    <row r="156" spans="2:3">
      <c r="B156" t="s">
        <v>318</v>
      </c>
      <c r="C156" s="79" t="s">
        <v>259</v>
      </c>
    </row>
    <row r="157" spans="2:3">
      <c r="C157" s="79" t="s">
        <v>278</v>
      </c>
    </row>
    <row r="158" spans="2:3">
      <c r="B158" s="81"/>
      <c r="C158" s="81"/>
    </row>
    <row r="159" spans="2:3">
      <c r="B159" t="s">
        <v>261</v>
      </c>
      <c r="C159" t="s">
        <v>164</v>
      </c>
    </row>
    <row r="160" spans="2:3">
      <c r="B160" s="79"/>
      <c r="C160" s="79" t="s">
        <v>280</v>
      </c>
    </row>
    <row r="161" spans="2:3">
      <c r="C161" s="79" t="s">
        <v>260</v>
      </c>
    </row>
    <row r="162" spans="2:3">
      <c r="C162" s="79" t="s">
        <v>262</v>
      </c>
    </row>
    <row r="163" spans="2:3">
      <c r="B163" s="81"/>
      <c r="C163" s="81"/>
    </row>
    <row r="164" spans="2:3">
      <c r="B164" t="s">
        <v>434</v>
      </c>
      <c r="C164" s="79" t="s">
        <v>433</v>
      </c>
    </row>
    <row r="165" spans="2:3">
      <c r="C165" s="79" t="s">
        <v>436</v>
      </c>
    </row>
    <row r="166" spans="2:3">
      <c r="C166" s="79" t="s">
        <v>432</v>
      </c>
    </row>
    <row r="167" spans="2:3">
      <c r="B167" s="81"/>
      <c r="C167"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2026-07-14T00:20:05Z</dcterms:modified>
</cp:coreProperties>
</file>
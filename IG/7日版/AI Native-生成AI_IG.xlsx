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4E673F16-9D83-48F5-AD19-A4A8BBEE2A34}"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16" i="33" l="1"/>
  <c r="C15" i="33"/>
  <c r="C41" i="33"/>
  <c r="C30" i="33"/>
  <c r="C26" i="33"/>
  <c r="C19"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<sst xmlns="http://schemas.openxmlformats.org/spreadsheetml/2006/main" count="374" uniqueCount="209">
  <si>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</si>
  <si>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</si>
  <si>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</si>
  <si>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</si>
  <si>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</si>
  <si>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</si>
  <si>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</si>
  <si>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</si>
  <si>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</si>
  <si>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</si>
  <si>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</si>
  <si>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</si>
  <si>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</si>
  <si>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</si>
  <si>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</si>
  <si>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</si>
  <si>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</si>
  <si>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</si>
  <si>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</si>
  <si>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</si>
  <si>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</si>
  <si>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</si>
  <si>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</si>
  <si>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</si>
  <si>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</si>
  <si>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</si>
  <si>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</si>
  <si>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</si>
  <si>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</si>
  <si>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</si>
  <si>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</si>
  <si>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</si>
  <si>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</si>
  <si>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</si>
  <si>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</si>
  <si>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</si>
  <si>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</si>
  <si>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</si>
  <si>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</si>
  <si>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</si>
  <si>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</si>
  <si>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</si>
  <si>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</si>
  <si>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</si>
  <si>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</si>
  <si>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</si>
  <si>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</si>
  <si>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</si>
  <si>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</si>
  <si>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</si>
  <si>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</si>
  <si>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</si>
  <si>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</si>
  <si>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</si>
  <si>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</si>
  <si>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</si>
  <si>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</si>
  <si>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</si>
  <si>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</si>
  <si>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</si>
  <si>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</si>
  <si>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</si>
  <si>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</si>
  <si>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</si>
  <si>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</si>
  <si>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</si>
  <si>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</si>
  <si>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</si>
  <si>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</si>
  <si>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</si>
  <si>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</si>
  <si>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</si>
  <si>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</si>
  <si>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</si>
  <si>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</si>
  <si>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</si>
  <si>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</si>
  <si>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</si>
  <si>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</si>
  <si>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</si>
  <si>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</si>
  <si>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</si>
  <si>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</si>
  <si>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</si>
  <si>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</si>
  <si>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</si>
  <si>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</si>
  <si>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</si>
  <si>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</si>
  <si>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</si>
  <si>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</si>
  <si>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</si>
  <si>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</si>
  <si>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</si>
  <si>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</si>
  <si>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</si>
  <si>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</si>
  <si>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</si>
  <si>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</si>
  <si>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</si>
  <si>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</si>
  <si>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</si>
  <si>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</si>
  <si>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</si>
  <si>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</si>
  <si>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</si>
  <si>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</si>
  <si>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</si>
  <si>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</si>
  <si>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</si>
  <si>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</si>
  <si>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</si>
  <si>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</si>
  <si>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</si>
  <si>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</si>
  <si>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</si>
  <si>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</si>
  <si>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</si>
  <si>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</si>
  <si>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</si>
  <si>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</si>
  <si>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</si>
  <si>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</si>
  <si>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</si>
  <si>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</si>
  <si>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</si>
  <si>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</si>
  <si>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</si>
  <si>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</si>
  <si>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</si>
  <si>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</si>
  <si>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</si>
  <si>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</si>
  <si>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</si>
  <si>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 xml:space="preserve">・AI-01
</t>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</si>
  <si>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</si>
  <si>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</si>
  <si>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</si>
  <si>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</si>
  <si>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</si>
  <si>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</si>
  <si>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</si>
  <si>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</si>
  <si>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</si>
  <si>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</si>
  <si>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</si>
  <si>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</si>
  <si>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</si>
  <si>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</si>
  <si>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</si>
  <si>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</si>
  <si>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</si>
  <si>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</si>
  <si>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</si>
  <si>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</si>
  <si>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</si>
  <si>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</si>
  <si>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</si>
  <si>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</si>
  <si>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</si>
  <si>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</si>
  <si>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</si>
  <si>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</si>
  <si>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</si>
  <si>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</si>
  <si>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</si>
  <si>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</si>
  <si>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</si>
  <si>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</si>
  <si>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</si>
  <si>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</si>
  <si>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</si>
  <si>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</si>
  <si>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</si>
  <si>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</si>
  <si>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</si>
  <si>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</si>
  <si>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</si>
  <si>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</si>
  <si>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</si>
  <si>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</si>
  <si>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</si>
  <si>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</si>
  <si>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</si>
  <si>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</si>
  <si>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</si>
  <si>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</si>
  <si>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</si>
  <si>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</si>
  <si>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</si>
  <si>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</si>
  <si>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</si>
  <si>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</si>
  <si>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</si>
  <si>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</si>
  <si>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</si>
  <si>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</si>
  <si>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ガイヨウショウサイセツメイフヨウ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</si>
  <si>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</si>
  <si>
    <r>
      <t xml:space="preserve">以下の内容を実施してもらう。
■実施内容
　1. ディレクトリを作成する
　2. 成果物を配置する
　3. Visual Studio Codeで成果物を参照する
</t>
    </r>
    <r>
      <rPr>
        <sz val="9"/>
        <color rgb="FFFF0000"/>
        <rFont val="Meiryo UI"/>
        <family val="3"/>
        <charset val="128"/>
      </rPr>
      <t>※ハンズオンとして実施する。</t>
    </r>
    <rPh sb="6" eb="8">
      <t>ジッシ</t>
    </rPh>
    <rPh sb="32" eb="34">
      <t>サクセイ</t>
    </rPh>
    <rPh sb="41" eb="44">
      <t>セイカブツ</t>
    </rPh>
    <rPh sb="45" eb="47">
      <t>ハイチ</t>
    </rPh>
    <rPh sb="73" eb="76">
      <t>セイカブツ</t>
    </rPh>
    <phoneticPr fontId="3"/>
  </si>
  <si>
    <t>以下の内容を説明する。
■実行結果の採用や取り消しの方法</t>
    <rPh sb="13" eb="15">
      <t>ジッコウ</t>
    </rPh>
    <rPh sb="15" eb="17">
      <t>ケッカ</t>
    </rPh>
    <rPh sb="18" eb="20">
      <t>サイヨウ</t>
    </rPh>
    <rPh sb="21" eb="22">
      <t>ト</t>
    </rPh>
    <rPh sb="23" eb="24">
      <t>ケ</t>
    </rPh>
    <rPh sb="26" eb="28">
      <t>ホウホウ</t>
    </rPh>
    <phoneticPr fontId="3"/>
  </si>
  <si>
    <t>以下の内容を説明する。
■mdファイルのプレビューの方法</t>
    <phoneticPr fontId="3"/>
  </si>
  <si>
    <t>以下の内容を実施する。
■講師による自己紹介 (3分)
　・氏名
　・経歴
　・その他
　※生成AIを使った、自己紹介文を読む（1分）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</si>
  <si>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</si>
  <si>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r>
      <t xml:space="preserve">以下の内容を実施してもらう。
■グループ内での自己紹介（5分*人数）
　1. 生成AIを使って自己紹介文を作成する（2分）
　　・部署
　　・氏名
　　・その他の特徴
　2. 生成AIで作った自己紹介文を読む（2分）
</t>
    </r>
    <r>
      <rPr>
        <sz val="9"/>
        <color rgb="FFFF0000"/>
        <rFont val="Meiryo UI"/>
        <family val="3"/>
        <charset val="128"/>
      </rPr>
      <t>※「1分以内」や「簡潔に」といった、分量や長さを具体的に指定するキーワードを指定した方が良いかもしれません。</t>
    </r>
    <rPh sb="20" eb="21">
      <t>ナイ</t>
    </rPh>
    <rPh sb="23" eb="27">
      <t>ジコショウカイ</t>
    </rPh>
    <rPh sb="29" eb="30">
      <t>フン</t>
    </rPh>
    <rPh sb="42" eb="44">
      <t>セイセイ</t>
    </rPh>
    <rPh sb="47" eb="48">
      <t>ツカ</t>
    </rPh>
    <rPh sb="50" eb="54">
      <t>ジコショウカイ</t>
    </rPh>
    <rPh sb="54" eb="55">
      <t>ブン</t>
    </rPh>
    <rPh sb="56" eb="58">
      <t>サクセイ</t>
    </rPh>
    <rPh sb="62" eb="63">
      <t>フン</t>
    </rPh>
    <rPh sb="68" eb="70">
      <t>ブショ</t>
    </rPh>
    <rPh sb="74" eb="76">
      <t>シメイ</t>
    </rPh>
    <rPh sb="82" eb="83">
      <t>タ</t>
    </rPh>
    <rPh sb="84" eb="86">
      <t>トクチョウ</t>
    </rPh>
    <rPh sb="96" eb="97">
      <t>ツク</t>
    </rPh>
    <phoneticPr fontId="3"/>
  </si>
  <si>
    <t xml:space="preserve">・AI-01
</t>
    <phoneticPr fontId="3"/>
  </si>
  <si>
    <t>以下の内容を伝える。
■研修の内容
　・生成AIと協働しながら業務を自走する力を養い、AI時代の基盤となる人材を育成する研修
■実施構成
　バイブコーディングフェーズ
　企画提案フェーズ
■各フェーズの概要の説明
　バイブコーディングフェーズ⇒生成AIを活用し、Java AP開発・単体テストをAIと実践する
　企画提案フェーズ⇒生成AIを活用し、企画・モック・提案・改善をチームで実践する</t>
    <rPh sb="12" eb="14">
      <t>ケンシュウ</t>
    </rPh>
    <rPh sb="15" eb="17">
      <t>ナイヨウ</t>
    </rPh>
    <rPh sb="65" eb="67">
      <t>ジッシ</t>
    </rPh>
    <rPh sb="96" eb="97">
      <t>カク</t>
    </rPh>
    <rPh sb="102" eb="104">
      <t>ガイヨウ</t>
    </rPh>
    <rPh sb="105" eb="107">
      <t>セツメイ</t>
    </rPh>
    <rPh sb="123" eb="125">
      <t>セイセイ</t>
    </rPh>
    <rPh sb="128" eb="130">
      <t>カツヨウ</t>
    </rPh>
    <rPh sb="157" eb="159">
      <t>キカク</t>
    </rPh>
    <rPh sb="159" eb="161">
      <t>テイアンキカク</t>
    </rPh>
    <phoneticPr fontId="3"/>
  </si>
  <si>
    <t xml:space="preserve">以下の内容を伝える。
■生成AIとは
　・自らデータを「生成」するAIのこと
　　学習した膨大なデータをもとに、テキスト、画像、音声などを新しく生み出す
　・自然言語インターフェース
　　人間が普段使っている言葉（日本語や英語）で指示を出すだけで、高度な処理を実行できる
■AI時代の働き方の変化
　・人間が手を動かす時代から、AIにどう指示を出すかを考える時代へ変化している。
</t>
    <rPh sb="12" eb="14">
      <t>セイセイ</t>
    </rPh>
    <phoneticPr fontId="3"/>
  </si>
  <si>
    <t>2-2. 従来型AIと生成AIの比較</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</si>
</sst>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0" fontId="0" fillId="0" borderId="0" xfId="0" applyAlignment="1">
      <alignment vertical="center"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7" borderId="9" xfId="0" applyFont="1" applyFill="1" applyBorder="1" applyAlignment="1">
      <alignment vertical="top"/>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vertical="top" wrapText="1"/>
    </xf>
    <xf numFmtId="0" fontId="5" fillId="9" borderId="9" xfId="0" applyFont="1" applyFill="1" applyBorder="1" applyAlignment="1">
      <alignmen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1" t="str">
        <f>"コースプラン/インストラクションガイド 「"&amp;master!B1&amp;"_IG」"</f>
        <v>コースプラン/インストラクションガイド 「AI Native-生成AI_IG」</v>
      </c>
      <c r="C2" s="91"/>
      <c r="D2" s="91"/>
      <c r="E2" s="91"/>
      <c r="F2" s="91"/>
      <c r="G2" s="91"/>
    </row>
    <row r="3" spans="1:8" ht="27.6" thickBot="1">
      <c r="A3" s="13"/>
      <c r="B3" s="15"/>
      <c r="C3" s="13"/>
      <c r="D3" s="13"/>
      <c r="E3" s="13"/>
      <c r="F3" s="13"/>
      <c r="G3" s="13"/>
    </row>
    <row r="4" spans="1:8" ht="27.6" thickBot="1">
      <c r="A4" s="13"/>
      <c r="B4" s="92" t="s">
        <v>11</v>
      </c>
      <c r="C4" s="93"/>
      <c r="D4" s="13"/>
      <c r="E4" s="13"/>
      <c r="F4" s="13"/>
      <c r="G4" s="13"/>
    </row>
    <row r="5" spans="1:8" ht="27.6" thickBot="1">
      <c r="A5" s="13"/>
      <c r="B5" s="94"/>
      <c r="C5" s="95"/>
      <c r="D5" s="13"/>
      <c r="E5" s="13"/>
      <c r="F5" s="13"/>
      <c r="G5" s="13"/>
    </row>
    <row r="7" spans="1:8" ht="16.2">
      <c r="B7" s="96" t="s">
        <v>2</v>
      </c>
      <c r="C7" s="96"/>
    </row>
    <row r="9" spans="1:8">
      <c r="B9" s="24"/>
      <c r="C9" s="24" t="s">
        <v>0</v>
      </c>
      <c r="G9" s="14"/>
    </row>
    <row r="10" spans="1:8" ht="14.25" customHeight="1">
      <c r="A10" s="37">
        <v>0.39583333333333331</v>
      </c>
      <c r="B10" s="17">
        <v>0.39583333333333331</v>
      </c>
      <c r="C10" s="75" t="s">
        <v>3</v>
      </c>
      <c r="G10" s="14" t="s">
        <v>12</v>
      </c>
    </row>
    <row r="11" spans="1:8">
      <c r="A11" s="39"/>
      <c r="B11" s="62">
        <v>0.40625</v>
      </c>
      <c r="C11" s="72" t="str">
        <f>master!B3</f>
        <v>自己紹介</v>
      </c>
      <c r="G11" s="14"/>
    </row>
    <row r="12" spans="1:8">
      <c r="A12" s="37">
        <v>0.41666666666666669</v>
      </c>
      <c r="B12" s="69"/>
      <c r="C12" s="73"/>
      <c r="G12" s="14" t="s">
        <v>12</v>
      </c>
    </row>
    <row r="13" spans="1:8">
      <c r="A13" s="38"/>
      <c r="B13" s="70"/>
      <c r="C13" s="74"/>
      <c r="F13" s="23"/>
      <c r="H13" s="6"/>
    </row>
    <row r="14" spans="1:8">
      <c r="A14" s="38"/>
      <c r="B14" s="37">
        <v>0.4375</v>
      </c>
      <c r="C14" s="72" t="str">
        <f>master!B5</f>
        <v>モジュール1：オリエンテーションとマインドセット変革</v>
      </c>
      <c r="F14" s="90"/>
      <c r="H14" s="6"/>
    </row>
    <row r="15" spans="1:8">
      <c r="A15" s="39"/>
      <c r="B15" s="37">
        <v>0.44791666666666669</v>
      </c>
      <c r="C15" s="71" t="str">
        <f>master!B8</f>
        <v>モジュール2：AI・LLMの基礎理解</v>
      </c>
      <c r="F15" s="90"/>
      <c r="H15" s="6"/>
    </row>
    <row r="16" spans="1:8">
      <c r="A16" s="37">
        <v>0.45833333333333331</v>
      </c>
      <c r="B16" s="62">
        <v>0.45833333333333331</v>
      </c>
      <c r="C16" s="72" t="str">
        <f>master!B13</f>
        <v>モジュール3：NTTデータが目指すAIビジネス（Vision）</v>
      </c>
      <c r="F16" s="90"/>
      <c r="H16" s="6"/>
    </row>
    <row r="17" spans="1:8">
      <c r="A17" s="38"/>
      <c r="B17" s="69"/>
      <c r="C17" s="73"/>
      <c r="F17" s="90"/>
      <c r="H17" s="6"/>
    </row>
    <row r="18" spans="1:8">
      <c r="A18" s="38"/>
      <c r="B18" s="41"/>
      <c r="C18" s="74"/>
      <c r="F18" s="90"/>
      <c r="H18" s="6"/>
    </row>
    <row r="19" spans="1:8">
      <c r="A19" s="39"/>
      <c r="B19" s="40">
        <v>0.48958333333333331</v>
      </c>
      <c r="C19" s="72" t="str">
        <f>master!B28</f>
        <v>モジュール4：プロンプトエンジニアリング</v>
      </c>
      <c r="F19" s="90"/>
      <c r="H19" s="6"/>
    </row>
    <row r="20" spans="1:8">
      <c r="A20" s="61">
        <v>0.5</v>
      </c>
      <c r="B20" s="42"/>
      <c r="C20" s="74"/>
      <c r="F20" s="90"/>
      <c r="H20" s="6"/>
    </row>
    <row r="21" spans="1:8">
      <c r="A21" s="56"/>
      <c r="B21" s="17">
        <v>0.51041666666666663</v>
      </c>
      <c r="C21" s="89" t="s">
        <v>51</v>
      </c>
      <c r="F21" s="90"/>
      <c r="H21" s="6"/>
    </row>
    <row r="22" spans="1:8">
      <c r="A22" s="38"/>
      <c r="B22" s="38">
        <v>0.52083333333333337</v>
      </c>
      <c r="C22" s="76" t="s">
        <v>1</v>
      </c>
      <c r="F22" s="22"/>
      <c r="G22" s="10"/>
      <c r="H22" s="6"/>
    </row>
    <row r="23" spans="1:8">
      <c r="A23" s="39"/>
      <c r="B23" s="38" t="s">
        <v>30</v>
      </c>
      <c r="C23" s="77"/>
      <c r="F23" s="22"/>
      <c r="G23" s="10"/>
      <c r="H23" s="6"/>
    </row>
    <row r="24" spans="1:8">
      <c r="A24" s="37">
        <v>0.54166666666666663</v>
      </c>
      <c r="B24" s="38" t="s">
        <v>30</v>
      </c>
      <c r="C24" s="77"/>
      <c r="F24" s="22"/>
      <c r="G24" s="10"/>
      <c r="H24" s="6"/>
    </row>
    <row r="25" spans="1:8">
      <c r="A25" s="38"/>
      <c r="B25" s="39" t="s">
        <v>30</v>
      </c>
      <c r="C25" s="78"/>
      <c r="F25" s="22"/>
      <c r="G25" s="10"/>
      <c r="H25" s="6"/>
    </row>
    <row r="26" spans="1:8">
      <c r="A26" s="38"/>
      <c r="B26" s="40">
        <v>0.5625</v>
      </c>
      <c r="C26" s="58" t="str">
        <f>master!B35</f>
        <v>モジュール5：ハンズオン（ChatGPT）</v>
      </c>
      <c r="F26" s="90"/>
      <c r="G26" s="14"/>
      <c r="H26" s="6"/>
    </row>
    <row r="27" spans="1:8">
      <c r="A27" s="39"/>
      <c r="B27" s="42"/>
      <c r="C27" s="58"/>
      <c r="F27" s="90"/>
      <c r="G27" s="14"/>
      <c r="H27" s="6"/>
    </row>
    <row r="28" spans="1:8">
      <c r="A28" s="37">
        <v>0.58333333333333337</v>
      </c>
      <c r="B28" s="42"/>
      <c r="C28" s="58"/>
      <c r="F28" s="90"/>
      <c r="H28" s="6"/>
    </row>
    <row r="29" spans="1:8">
      <c r="A29" s="38"/>
      <c r="B29" s="41"/>
      <c r="C29" s="59"/>
      <c r="D29" s="55"/>
      <c r="E29" s="52"/>
      <c r="F29" s="90"/>
      <c r="H29" s="6"/>
    </row>
    <row r="30" spans="1:8">
      <c r="A30" s="38"/>
      <c r="B30" s="42">
        <v>0.60416666666666663</v>
      </c>
      <c r="C30" s="58" t="str">
        <f>master!B45</f>
        <v>モジュール6：ハンズオン（ GitHub Copilot ）</v>
      </c>
      <c r="D30" s="55"/>
      <c r="E30" s="52"/>
      <c r="F30" s="90"/>
      <c r="H30" s="6"/>
    </row>
    <row r="31" spans="1:8">
      <c r="A31" s="39"/>
      <c r="B31" s="42"/>
      <c r="C31" s="58"/>
      <c r="D31" s="55"/>
      <c r="E31" s="11"/>
      <c r="F31" s="90"/>
      <c r="H31" s="6"/>
    </row>
    <row r="32" spans="1:8">
      <c r="A32" s="61">
        <v>0.625</v>
      </c>
      <c r="B32" s="42"/>
      <c r="C32" s="58"/>
      <c r="D32" s="55"/>
      <c r="E32" s="11"/>
      <c r="F32" s="90"/>
      <c r="H32" s="6"/>
    </row>
    <row r="33" spans="1:8">
      <c r="A33" s="56"/>
      <c r="B33" s="42"/>
      <c r="C33" s="58"/>
      <c r="D33" s="55"/>
      <c r="E33" s="52"/>
      <c r="F33" s="90"/>
      <c r="H33" s="6"/>
    </row>
    <row r="34" spans="1:8">
      <c r="A34" s="56"/>
      <c r="B34" s="42"/>
      <c r="C34" s="58"/>
      <c r="D34" s="55"/>
      <c r="E34" s="52"/>
      <c r="F34" s="90"/>
      <c r="H34" s="6"/>
    </row>
    <row r="35" spans="1:8">
      <c r="A35" s="39"/>
      <c r="B35" s="42"/>
      <c r="C35" s="58"/>
      <c r="D35" s="55"/>
      <c r="E35" s="52"/>
      <c r="F35" s="90"/>
      <c r="H35" s="6"/>
    </row>
    <row r="36" spans="1:8">
      <c r="A36" s="37">
        <v>0.66666666666666663</v>
      </c>
      <c r="B36" s="42"/>
      <c r="C36" s="58"/>
      <c r="D36" s="55"/>
      <c r="E36" s="11"/>
      <c r="F36" s="90"/>
      <c r="H36" s="6"/>
    </row>
    <row r="37" spans="1:8">
      <c r="A37" s="38"/>
      <c r="B37" s="42"/>
      <c r="C37" s="58"/>
      <c r="D37" s="55"/>
      <c r="E37" s="11"/>
      <c r="F37" s="90"/>
      <c r="H37" s="6"/>
    </row>
    <row r="38" spans="1:8">
      <c r="A38" s="38"/>
      <c r="B38" s="42"/>
      <c r="C38" s="58"/>
      <c r="D38" s="55"/>
      <c r="E38" s="11"/>
      <c r="F38" s="90"/>
      <c r="H38" s="6"/>
    </row>
    <row r="39" spans="1:8">
      <c r="A39" s="38"/>
      <c r="B39" s="42"/>
      <c r="C39" s="58"/>
      <c r="D39" s="55"/>
      <c r="E39" s="11"/>
      <c r="F39" s="90"/>
      <c r="H39" s="6"/>
    </row>
    <row r="40" spans="1:8">
      <c r="A40" s="40">
        <v>0.70833333333333337</v>
      </c>
      <c r="B40" s="41"/>
      <c r="C40" s="59"/>
      <c r="D40" s="55"/>
      <c r="E40" s="52"/>
      <c r="F40" s="90"/>
      <c r="H40" s="6"/>
    </row>
    <row r="41" spans="1:8">
      <c r="A41" s="38"/>
      <c r="B41" s="40">
        <v>0.71875</v>
      </c>
      <c r="C41" s="58" t="str">
        <f>master!B74</f>
        <v>成果物のプレゼン</v>
      </c>
      <c r="D41" s="57"/>
      <c r="E41" s="53"/>
      <c r="F41" s="90"/>
      <c r="H41" s="6"/>
    </row>
    <row r="42" spans="1:8">
      <c r="A42" s="42"/>
      <c r="B42" s="41"/>
      <c r="C42" s="59"/>
      <c r="D42" s="55"/>
      <c r="E42" s="53"/>
      <c r="F42" s="90"/>
      <c r="H42" s="6"/>
    </row>
    <row r="43" spans="1:8" ht="14.25" customHeight="1">
      <c r="A43" s="41"/>
      <c r="B43" s="80">
        <v>0.73958333333333337</v>
      </c>
      <c r="C43" s="79" t="s">
        <v>51</v>
      </c>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2" t="s">
        <v>4</v>
      </c>
      <c r="C4" s="102"/>
      <c r="D4" s="8"/>
      <c r="E4" s="8"/>
      <c r="F4" s="8"/>
      <c r="G4" s="7"/>
      <c r="H4" s="26"/>
      <c r="I4" s="19"/>
      <c r="J4" s="19"/>
      <c r="K4" s="9"/>
    </row>
    <row r="5" spans="1:12" ht="36" customHeight="1">
      <c r="B5" s="103"/>
      <c r="C5" s="103"/>
      <c r="D5" s="103"/>
      <c r="E5" s="103"/>
      <c r="F5" s="103"/>
      <c r="G5" s="103"/>
      <c r="H5" s="103"/>
      <c r="I5" s="103"/>
      <c r="J5" s="103"/>
      <c r="K5" s="103"/>
    </row>
    <row r="6" spans="1:12">
      <c r="B6" s="10"/>
      <c r="C6" s="10"/>
      <c r="G6" s="10"/>
      <c r="K6" s="10"/>
    </row>
    <row r="7" spans="1:12">
      <c r="B7" s="33" t="s">
        <v>15</v>
      </c>
      <c r="C7" s="33" t="s">
        <v>16</v>
      </c>
      <c r="D7" s="104" t="s">
        <v>21</v>
      </c>
      <c r="E7" s="104"/>
      <c r="F7" s="33" t="s">
        <v>10</v>
      </c>
      <c r="G7" s="33" t="s">
        <v>17</v>
      </c>
      <c r="K7" s="6"/>
      <c r="L7" s="6"/>
    </row>
    <row r="8" spans="1:12">
      <c r="B8" s="34" t="s">
        <v>18</v>
      </c>
      <c r="C8" s="35" t="s">
        <v>53</v>
      </c>
      <c r="D8" s="45" t="s">
        <v>20</v>
      </c>
      <c r="E8" s="44"/>
      <c r="F8" s="36" t="s">
        <v>23</v>
      </c>
      <c r="G8" s="36" t="s">
        <v>19</v>
      </c>
      <c r="K8" s="6"/>
      <c r="L8" s="6"/>
    </row>
    <row r="10" spans="1:12">
      <c r="A10" s="10"/>
      <c r="B10" s="98"/>
      <c r="C10" s="98" t="s">
        <v>7</v>
      </c>
      <c r="D10" s="98" t="s">
        <v>8</v>
      </c>
      <c r="E10" s="98"/>
      <c r="F10" s="98"/>
      <c r="G10" s="98" t="s">
        <v>9</v>
      </c>
      <c r="H10" s="105" t="s">
        <v>24</v>
      </c>
      <c r="I10" s="97" t="s">
        <v>32</v>
      </c>
      <c r="J10" s="97"/>
      <c r="K10" s="97" t="s">
        <v>31</v>
      </c>
      <c r="L10" s="10"/>
    </row>
    <row r="11" spans="1:12">
      <c r="A11" s="10"/>
      <c r="B11" s="98"/>
      <c r="C11" s="98"/>
      <c r="D11" s="98"/>
      <c r="E11" s="98"/>
      <c r="F11" s="98"/>
      <c r="G11" s="98"/>
      <c r="H11" s="106"/>
      <c r="I11" s="28" t="s">
        <v>26</v>
      </c>
      <c r="J11" s="28" t="s">
        <v>6</v>
      </c>
      <c r="K11" s="98"/>
      <c r="L11" s="10"/>
    </row>
    <row r="12" spans="1:12" ht="63">
      <c r="A12" s="10"/>
      <c r="B12" s="20"/>
      <c r="C12" s="20" t="s">
        <v>3</v>
      </c>
      <c r="D12" s="99" t="s">
        <v>54</v>
      </c>
      <c r="E12" s="100"/>
      <c r="F12" s="101"/>
      <c r="G12" s="82" t="s">
        <v>50</v>
      </c>
      <c r="H12" s="20"/>
      <c r="I12" s="50"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tabSelected="1"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2" t="s">
        <v>4</v>
      </c>
      <c r="C4" s="102"/>
      <c r="D4" s="102"/>
      <c r="E4" s="102"/>
      <c r="F4" s="8"/>
      <c r="G4" s="8"/>
      <c r="H4" s="7"/>
      <c r="I4" s="19"/>
      <c r="J4" s="19"/>
      <c r="K4" s="19"/>
      <c r="L4" s="9"/>
      <c r="M4" s="9"/>
    </row>
    <row r="5" spans="1:14" ht="36" customHeight="1">
      <c r="B5" s="107" t="s">
        <v>193</v>
      </c>
      <c r="C5" s="107"/>
      <c r="D5" s="107"/>
      <c r="E5" s="107"/>
      <c r="F5" s="107"/>
      <c r="G5" s="107"/>
      <c r="H5" s="107"/>
      <c r="I5" s="107"/>
      <c r="J5" s="107"/>
      <c r="K5" s="107"/>
      <c r="L5" s="29"/>
      <c r="M5" s="30"/>
    </row>
    <row r="6" spans="1:14">
      <c r="B6" s="10"/>
      <c r="C6" s="10"/>
      <c r="D6" s="10"/>
      <c r="E6" s="10"/>
      <c r="H6" s="10"/>
      <c r="L6" s="10"/>
      <c r="M6" s="10"/>
    </row>
    <row r="7" spans="1:14">
      <c r="B7" s="33" t="s">
        <v>15</v>
      </c>
      <c r="C7" s="33" t="s">
        <v>16</v>
      </c>
      <c r="D7" s="104" t="s">
        <v>21</v>
      </c>
      <c r="E7" s="104"/>
      <c r="F7" s="33" t="s">
        <v>10</v>
      </c>
      <c r="G7" s="33" t="s">
        <v>17</v>
      </c>
      <c r="I7" s="48"/>
      <c r="J7" s="6"/>
      <c r="K7" s="6"/>
      <c r="L7" s="6"/>
      <c r="M7" s="6"/>
      <c r="N7" s="6"/>
    </row>
    <row r="8" spans="1:14">
      <c r="B8" s="34" t="s">
        <v>34</v>
      </c>
      <c r="C8" s="63" t="s">
        <v>192</v>
      </c>
      <c r="D8" s="45" t="s">
        <v>20</v>
      </c>
      <c r="E8" s="44"/>
      <c r="F8" s="36" t="s">
        <v>22</v>
      </c>
      <c r="G8" s="36" t="s">
        <v>19</v>
      </c>
      <c r="K8" s="6"/>
      <c r="L8" s="6"/>
      <c r="M8" s="6"/>
      <c r="N8" s="6"/>
    </row>
    <row r="10" spans="1:14" ht="24" customHeight="1">
      <c r="A10" s="10"/>
      <c r="B10" s="98" t="s">
        <v>5</v>
      </c>
      <c r="C10" s="98" t="s">
        <v>7</v>
      </c>
      <c r="D10" s="98" t="s">
        <v>8</v>
      </c>
      <c r="E10" s="98"/>
      <c r="F10" s="98"/>
      <c r="G10" s="98" t="s">
        <v>9</v>
      </c>
      <c r="H10" s="97" t="s">
        <v>24</v>
      </c>
      <c r="I10" s="108" t="s">
        <v>32</v>
      </c>
      <c r="J10" s="109"/>
      <c r="K10" s="97" t="s">
        <v>33</v>
      </c>
      <c r="L10" s="6"/>
      <c r="M10" s="6"/>
      <c r="N10" s="6"/>
    </row>
    <row r="11" spans="1:14">
      <c r="A11" s="10"/>
      <c r="B11" s="98"/>
      <c r="C11" s="98"/>
      <c r="D11" s="98"/>
      <c r="E11" s="98"/>
      <c r="F11" s="98"/>
      <c r="G11" s="98"/>
      <c r="H11" s="97"/>
      <c r="I11" s="28" t="s">
        <v>26</v>
      </c>
      <c r="J11" s="28" t="s">
        <v>6</v>
      </c>
      <c r="K11" s="98"/>
      <c r="L11" s="6"/>
      <c r="M11" s="6"/>
      <c r="N11" s="6"/>
    </row>
    <row r="12" spans="1:14" ht="88.2">
      <c r="A12" s="10"/>
      <c r="B12" s="110" t="str">
        <f>master!B3</f>
        <v>自己紹介</v>
      </c>
      <c r="C12" s="51" t="str">
        <f>master!C3</f>
        <v>講師の自己紹介</v>
      </c>
      <c r="D12" s="112" t="s">
        <v>202</v>
      </c>
      <c r="E12" s="113"/>
      <c r="F12" s="114"/>
      <c r="G12" s="51" t="s">
        <v>49</v>
      </c>
      <c r="H12" s="12"/>
      <c r="I12" s="49" t="s">
        <v>25</v>
      </c>
      <c r="J12" s="47">
        <v>3.472222222222222E-3</v>
      </c>
      <c r="K12" s="43"/>
      <c r="L12" s="6"/>
      <c r="M12" s="6"/>
      <c r="N12" s="6"/>
    </row>
    <row r="13" spans="1:14" ht="126">
      <c r="A13" s="10"/>
      <c r="B13" s="111"/>
      <c r="C13" s="84" t="str">
        <f>master!C4</f>
        <v>受講生の自己紹介</v>
      </c>
      <c r="D13" s="115" t="s">
        <v>204</v>
      </c>
      <c r="E13" s="116"/>
      <c r="F13" s="117"/>
      <c r="G13" s="84" t="s">
        <v>203</v>
      </c>
      <c r="H13" s="85"/>
      <c r="I13" s="86" t="s">
        <v>25</v>
      </c>
      <c r="J13" s="87">
        <v>2.0833333333333332E-2</v>
      </c>
      <c r="K13" s="88" t="s">
        <v>164</v>
      </c>
      <c r="L13" s="6"/>
      <c r="M13" s="6"/>
      <c r="N13" s="6"/>
    </row>
    <row r="14" spans="1:14" ht="151.19999999999999">
      <c r="A14" s="11"/>
      <c r="B14" s="118" t="str">
        <f>master!B5</f>
        <v>モジュール1：オリエンテーションとマインドセット変革</v>
      </c>
      <c r="C14" s="51" t="str">
        <f>master!C5</f>
        <v>1-1. 研修概要</v>
      </c>
      <c r="D14" s="112" t="s">
        <v>206</v>
      </c>
      <c r="E14" s="113"/>
      <c r="F14" s="114"/>
      <c r="G14" s="51" t="s">
        <v>205</v>
      </c>
      <c r="H14" s="12"/>
      <c r="I14" s="49" t="s">
        <v>25</v>
      </c>
      <c r="J14" s="47">
        <v>1.3888888888888889E-3</v>
      </c>
      <c r="K14" s="43"/>
      <c r="L14" s="6"/>
      <c r="M14" s="6"/>
      <c r="N14" s="6"/>
    </row>
    <row r="15" spans="1:14" ht="100.8">
      <c r="A15" s="11"/>
      <c r="B15" s="118"/>
      <c r="C15" s="51" t="str">
        <f>master!C6</f>
        <v>1-2. 背景・目的</v>
      </c>
      <c r="D15" s="112" t="s">
        <v>133</v>
      </c>
      <c r="E15" s="113"/>
      <c r="F15" s="114"/>
      <c r="G15" s="51" t="s">
        <v>47</v>
      </c>
      <c r="H15" s="12"/>
      <c r="I15" s="49" t="s">
        <v>25</v>
      </c>
      <c r="J15" s="47">
        <v>1.3888888888888889E-3</v>
      </c>
      <c r="K15" s="43"/>
      <c r="L15" s="6"/>
      <c r="M15" s="6"/>
      <c r="N15" s="6"/>
    </row>
    <row r="16" spans="1:14" ht="214.2">
      <c r="A16" s="11"/>
      <c r="B16" s="118"/>
      <c r="C16" s="51" t="str">
        <f>master!C7</f>
        <v>1-3. 研修ゴールと獲得可能な経験背景・目的</v>
      </c>
      <c r="D16" s="112" t="s">
        <v>169</v>
      </c>
      <c r="E16" s="113"/>
      <c r="F16" s="114"/>
      <c r="G16" s="51" t="s">
        <v>134</v>
      </c>
      <c r="H16" s="12"/>
      <c r="I16" s="49" t="s">
        <v>25</v>
      </c>
      <c r="J16" s="47">
        <v>2.0833333333333333E-3</v>
      </c>
      <c r="K16" s="43"/>
      <c r="L16" s="6"/>
      <c r="M16" s="6"/>
      <c r="N16" s="6"/>
    </row>
    <row r="17" spans="1:14" ht="113.4">
      <c r="A17" s="11"/>
      <c r="B17" s="119" t="str">
        <f>master!B8</f>
        <v>モジュール2：AI・LLMの基礎理解</v>
      </c>
      <c r="C17" s="51" t="str">
        <f>master!C8</f>
        <v>2-1. 生成AI（Generative AI）とは？</v>
      </c>
      <c r="D17" s="112" t="s">
        <v>207</v>
      </c>
      <c r="E17" s="113"/>
      <c r="F17" s="114"/>
      <c r="G17" s="51" t="s">
        <v>43</v>
      </c>
      <c r="H17" s="12"/>
      <c r="I17" s="49" t="s">
        <v>25</v>
      </c>
      <c r="J17" s="47">
        <v>1.3888888888888889E-3</v>
      </c>
      <c r="K17" s="43"/>
      <c r="L17" s="6"/>
      <c r="M17" s="6"/>
      <c r="N17" s="6"/>
    </row>
    <row r="18" spans="1:14" ht="113.4">
      <c r="A18" s="11"/>
      <c r="B18" s="120"/>
      <c r="C18" s="51" t="str">
        <f>master!C9</f>
        <v>2-2. 従来型AIと生成AIの比較</v>
      </c>
      <c r="D18" s="112" t="s">
        <v>135</v>
      </c>
      <c r="E18" s="113"/>
      <c r="F18" s="114"/>
      <c r="G18" s="51" t="s">
        <v>43</v>
      </c>
      <c r="H18" s="12"/>
      <c r="I18" s="49" t="s">
        <v>25</v>
      </c>
      <c r="J18" s="47">
        <v>1.3888888888888889E-3</v>
      </c>
      <c r="K18" s="43"/>
      <c r="L18" s="6"/>
      <c r="M18" s="6"/>
      <c r="N18" s="6"/>
    </row>
    <row r="19" spans="1:14" ht="113.4">
      <c r="A19" s="11"/>
      <c r="B19" s="120"/>
      <c r="C19" s="51" t="str">
        <f>master!C10</f>
        <v>2-3. LLM（大規模言語モデル）の仕組み</v>
      </c>
      <c r="D19" s="112" t="s">
        <v>136</v>
      </c>
      <c r="E19" s="113"/>
      <c r="F19" s="114"/>
      <c r="G19" s="51" t="s">
        <v>43</v>
      </c>
      <c r="H19" s="12"/>
      <c r="I19" s="49" t="s">
        <v>25</v>
      </c>
      <c r="J19" s="47">
        <v>2.0833333333333333E-3</v>
      </c>
      <c r="K19" s="43"/>
      <c r="L19" s="6"/>
      <c r="M19" s="6"/>
      <c r="N19" s="6"/>
    </row>
    <row r="20" spans="1:14" ht="126">
      <c r="A20" s="11"/>
      <c r="B20" s="120"/>
      <c r="C20" s="51" t="str">
        <f>master!C11</f>
        <v>2-4. 生成AIの「苦手なこと」（弱み）</v>
      </c>
      <c r="D20" s="112" t="s">
        <v>137</v>
      </c>
      <c r="E20" s="113"/>
      <c r="F20" s="114"/>
      <c r="G20" s="51" t="s">
        <v>44</v>
      </c>
      <c r="H20" s="12"/>
      <c r="I20" s="49" t="s">
        <v>25</v>
      </c>
      <c r="J20" s="47">
        <v>2.0833333333333333E-3</v>
      </c>
      <c r="K20" s="43"/>
      <c r="L20" s="6"/>
      <c r="M20" s="6"/>
      <c r="N20" s="6"/>
    </row>
    <row r="21" spans="1:14" ht="239.4">
      <c r="A21" s="11"/>
      <c r="B21" s="121"/>
      <c r="C21" s="51" t="str">
        <f>master!C12</f>
        <v>2-5. 生成AIを使う心得８条</v>
      </c>
      <c r="D21" s="112" t="s">
        <v>170</v>
      </c>
      <c r="E21" s="113"/>
      <c r="F21" s="114"/>
      <c r="G21" s="51" t="s">
        <v>138</v>
      </c>
      <c r="H21" s="12"/>
      <c r="I21" s="49" t="s">
        <v>25</v>
      </c>
      <c r="J21" s="47">
        <v>3.472222222222222E-3</v>
      </c>
      <c r="K21" s="43"/>
      <c r="L21" s="6"/>
      <c r="M21" s="6"/>
      <c r="N21" s="6"/>
    </row>
    <row r="22" spans="1:14" ht="25.2">
      <c r="A22" s="11"/>
      <c r="B22" s="118" t="str">
        <f>master!B13</f>
        <v>モジュール3：NTTデータが目指すAIビジネス（Vision）</v>
      </c>
      <c r="C22" s="51" t="str">
        <f>master!C13</f>
        <v>3-1. 本モジュールで学ぶこと①</v>
      </c>
      <c r="D22" s="112"/>
      <c r="E22" s="113"/>
      <c r="F22" s="114"/>
      <c r="G22" s="51" t="s">
        <v>46</v>
      </c>
      <c r="H22" s="12"/>
      <c r="I22" s="49" t="s">
        <v>25</v>
      </c>
      <c r="J22" s="47">
        <v>6.9444444444444447E-4</v>
      </c>
      <c r="K22" s="43"/>
      <c r="L22" s="6"/>
      <c r="M22" s="6"/>
      <c r="N22" s="6"/>
    </row>
    <row r="23" spans="1:14" ht="25.2">
      <c r="A23" s="11"/>
      <c r="B23" s="118"/>
      <c r="C23" s="51" t="str">
        <f>master!C14</f>
        <v>3-2. NTTデータのAI戦略：Quality Growthとは</v>
      </c>
      <c r="D23" s="112"/>
      <c r="E23" s="113"/>
      <c r="F23" s="114"/>
      <c r="G23" s="51" t="s">
        <v>46</v>
      </c>
      <c r="H23" s="12"/>
      <c r="I23" s="49" t="s">
        <v>25</v>
      </c>
      <c r="J23" s="47">
        <v>2.0833333333333333E-3</v>
      </c>
      <c r="K23" s="43"/>
      <c r="L23" s="6"/>
      <c r="M23" s="6"/>
      <c r="N23" s="6"/>
    </row>
    <row r="24" spans="1:14" ht="25.2">
      <c r="A24" s="11"/>
      <c r="B24" s="118"/>
      <c r="C24" s="51" t="str">
        <f>master!C15</f>
        <v>3-3. なぜ今、AIが重要なのか</v>
      </c>
      <c r="D24" s="112"/>
      <c r="E24" s="113"/>
      <c r="F24" s="114"/>
      <c r="G24" s="51" t="s">
        <v>46</v>
      </c>
      <c r="H24" s="12"/>
      <c r="I24" s="49" t="s">
        <v>25</v>
      </c>
      <c r="J24" s="47">
        <v>2.0833333333333333E-3</v>
      </c>
      <c r="K24" s="43"/>
      <c r="L24" s="6"/>
      <c r="M24" s="6"/>
      <c r="N24" s="6"/>
    </row>
    <row r="25" spans="1:14" ht="25.2">
      <c r="A25" s="11"/>
      <c r="B25" s="118"/>
      <c r="C25" s="51" t="str">
        <f>master!C16</f>
        <v>3-4. 生成AIの進化：今、どこにいるか</v>
      </c>
      <c r="D25" s="112"/>
      <c r="E25" s="113"/>
      <c r="F25" s="114"/>
      <c r="G25" s="51" t="s">
        <v>46</v>
      </c>
      <c r="H25" s="12"/>
      <c r="I25" s="49" t="s">
        <v>25</v>
      </c>
      <c r="J25" s="47">
        <v>2.0833333333333333E-3</v>
      </c>
      <c r="K25" s="43"/>
      <c r="L25" s="6"/>
      <c r="M25" s="6"/>
      <c r="N25" s="6"/>
    </row>
    <row r="26" spans="1:14" ht="15" customHeight="1">
      <c r="A26" s="11"/>
      <c r="B26" s="118"/>
      <c r="C26" s="51" t="str">
        <f>master!C17</f>
        <v>3-5. 本モジュールで学ぶこと②</v>
      </c>
      <c r="D26" s="112"/>
      <c r="E26" s="113"/>
      <c r="F26" s="114"/>
      <c r="G26" s="51" t="s">
        <v>37</v>
      </c>
      <c r="H26" s="12"/>
      <c r="I26" s="49" t="s">
        <v>25</v>
      </c>
      <c r="J26" s="47">
        <v>6.9444444444444447E-4</v>
      </c>
      <c r="K26" s="43"/>
      <c r="L26" s="6"/>
      <c r="M26" s="6"/>
      <c r="N26" s="6"/>
    </row>
    <row r="27" spans="1:14" ht="63">
      <c r="A27" s="11"/>
      <c r="B27" s="118"/>
      <c r="C27" s="51" t="str">
        <f>master!C18</f>
        <v>3-6. エージェントAI（Agentic AI）とは何か</v>
      </c>
      <c r="D27" s="112" t="s">
        <v>171</v>
      </c>
      <c r="E27" s="113"/>
      <c r="F27" s="114"/>
      <c r="G27" s="51" t="s">
        <v>39</v>
      </c>
      <c r="H27" s="12"/>
      <c r="I27" s="49" t="s">
        <v>25</v>
      </c>
      <c r="J27" s="47">
        <v>1.3888888888888889E-3</v>
      </c>
      <c r="K27" s="43"/>
      <c r="L27" s="6"/>
      <c r="M27" s="6"/>
      <c r="N27" s="6"/>
    </row>
    <row r="28" spans="1:14" ht="63">
      <c r="A28" s="11"/>
      <c r="B28" s="118"/>
      <c r="C28" s="51" t="str">
        <f>master!C19</f>
        <v>3-7. エージェントの処理</v>
      </c>
      <c r="D28" s="112" t="s">
        <v>139</v>
      </c>
      <c r="E28" s="113"/>
      <c r="F28" s="114"/>
      <c r="G28" s="51" t="s">
        <v>39</v>
      </c>
      <c r="H28" s="12"/>
      <c r="I28" s="49" t="s">
        <v>25</v>
      </c>
      <c r="J28" s="47">
        <v>2.0833333333333333E-3</v>
      </c>
      <c r="K28" s="43"/>
      <c r="L28" s="6"/>
      <c r="M28" s="6"/>
      <c r="N28" s="6"/>
    </row>
    <row r="29" spans="1:14" ht="37.799999999999997">
      <c r="A29" s="11"/>
      <c r="B29" s="118"/>
      <c r="C29" s="51" t="str">
        <f>master!C20</f>
        <v>3-8. 本モジュールで学ぶこと③</v>
      </c>
      <c r="D29" s="112"/>
      <c r="E29" s="113"/>
      <c r="F29" s="114"/>
      <c r="G29" s="51" t="s">
        <v>40</v>
      </c>
      <c r="H29" s="12"/>
      <c r="I29" s="49" t="s">
        <v>25</v>
      </c>
      <c r="J29" s="47">
        <v>6.9444444444444447E-4</v>
      </c>
      <c r="K29" s="43"/>
      <c r="L29" s="6"/>
      <c r="M29" s="6"/>
      <c r="N29" s="6"/>
    </row>
    <row r="30" spans="1:14" ht="37.799999999999997">
      <c r="A30" s="11"/>
      <c r="B30" s="118"/>
      <c r="C30" s="51" t="str">
        <f>master!C21</f>
        <v>3-9. NTTデータが描く未来：Smart AI Agent®</v>
      </c>
      <c r="D30" s="112"/>
      <c r="E30" s="113"/>
      <c r="F30" s="114"/>
      <c r="G30" s="51" t="s">
        <v>40</v>
      </c>
      <c r="H30" s="12"/>
      <c r="I30" s="49" t="s">
        <v>25</v>
      </c>
      <c r="J30" s="47">
        <v>2.0833333333333333E-3</v>
      </c>
      <c r="K30" s="43"/>
      <c r="L30" s="6"/>
      <c r="M30" s="6"/>
      <c r="N30" s="6"/>
    </row>
    <row r="31" spans="1:14" ht="37.799999999999997">
      <c r="A31" s="11"/>
      <c r="B31" s="118"/>
      <c r="C31" s="51" t="str">
        <f>master!C22</f>
        <v>3-10. AIの強みを生かした業務変革の進め方</v>
      </c>
      <c r="D31" s="112"/>
      <c r="E31" s="113"/>
      <c r="F31" s="114"/>
      <c r="G31" s="51" t="s">
        <v>40</v>
      </c>
      <c r="H31" s="12"/>
      <c r="I31" s="49" t="s">
        <v>25</v>
      </c>
      <c r="J31" s="47">
        <v>2.0833333333333333E-3</v>
      </c>
      <c r="K31" s="43"/>
      <c r="L31" s="6"/>
      <c r="M31" s="6"/>
      <c r="N31" s="6"/>
    </row>
    <row r="32" spans="1:14" ht="37.799999999999997">
      <c r="A32" s="11"/>
      <c r="B32" s="118"/>
      <c r="C32" s="51" t="str">
        <f>master!C23</f>
        <v>3-11. AIの強みを生かすポイント：人とAIとの役割分担</v>
      </c>
      <c r="D32" s="112"/>
      <c r="E32" s="113"/>
      <c r="F32" s="114"/>
      <c r="G32" s="51" t="s">
        <v>40</v>
      </c>
      <c r="H32" s="12"/>
      <c r="I32" s="49" t="s">
        <v>25</v>
      </c>
      <c r="J32" s="47">
        <v>2.0833333333333333E-3</v>
      </c>
      <c r="K32" s="43"/>
      <c r="L32" s="6"/>
      <c r="M32" s="6"/>
      <c r="N32" s="6"/>
    </row>
    <row r="33" spans="1:14" ht="37.799999999999997">
      <c r="A33" s="11"/>
      <c r="B33" s="118"/>
      <c r="C33" s="51" t="str">
        <f>master!C24</f>
        <v>3-12. AIの強みを生かすポイント：プロセス自体をAI前提で再設計</v>
      </c>
      <c r="D33" s="112"/>
      <c r="E33" s="113"/>
      <c r="F33" s="114"/>
      <c r="G33" s="51" t="s">
        <v>40</v>
      </c>
      <c r="H33" s="12"/>
      <c r="I33" s="49" t="s">
        <v>25</v>
      </c>
      <c r="J33" s="47">
        <v>2.0833333333333333E-3</v>
      </c>
      <c r="K33" s="43"/>
      <c r="L33" s="6"/>
      <c r="M33" s="6"/>
      <c r="N33" s="6"/>
    </row>
    <row r="34" spans="1:14" ht="37.799999999999997">
      <c r="A34" s="11"/>
      <c r="B34" s="118"/>
      <c r="C34" s="51" t="str">
        <f>master!C25</f>
        <v>3-13. JALカード様 -  AIバーチャル顧客を活用したマーケティング高度化</v>
      </c>
      <c r="D34" s="112"/>
      <c r="E34" s="113"/>
      <c r="F34" s="114"/>
      <c r="G34" s="51" t="s">
        <v>40</v>
      </c>
      <c r="H34" s="12"/>
      <c r="I34" s="49" t="s">
        <v>25</v>
      </c>
      <c r="J34" s="47">
        <v>3.472222222222222E-3</v>
      </c>
      <c r="K34" s="43"/>
      <c r="L34" s="6"/>
      <c r="M34" s="6"/>
      <c r="N34" s="6"/>
    </row>
    <row r="35" spans="1:14" ht="37.799999999999997">
      <c r="A35" s="11"/>
      <c r="B35" s="118"/>
      <c r="C35" s="51" t="str">
        <f>master!C26</f>
        <v>3-14. 大手メディアサービス会社 - AI-BPOによるオペレーション変革</v>
      </c>
      <c r="D35" s="112"/>
      <c r="E35" s="113"/>
      <c r="F35" s="114"/>
      <c r="G35" s="51" t="s">
        <v>40</v>
      </c>
      <c r="H35" s="12"/>
      <c r="I35" s="49" t="s">
        <v>25</v>
      </c>
      <c r="J35" s="47">
        <v>3.472222222222222E-3</v>
      </c>
      <c r="K35" s="43"/>
      <c r="L35" s="6"/>
      <c r="M35" s="6"/>
      <c r="N35" s="6"/>
    </row>
    <row r="36" spans="1:14" ht="37.799999999999997">
      <c r="A36" s="11"/>
      <c r="B36" s="118"/>
      <c r="C36" s="51" t="str">
        <f>master!C27</f>
        <v>Appendix：りそな様 - AI CoEと生成AI人財育成アカデミーの推進</v>
      </c>
      <c r="D36" s="112"/>
      <c r="E36" s="113"/>
      <c r="F36" s="114"/>
      <c r="G36" s="51" t="s">
        <v>40</v>
      </c>
      <c r="H36" s="12"/>
      <c r="I36" s="49" t="s">
        <v>25</v>
      </c>
      <c r="J36" s="47">
        <v>3.472222222222222E-3</v>
      </c>
      <c r="K36" s="43"/>
      <c r="L36" s="6"/>
      <c r="M36" s="6"/>
      <c r="N36" s="6"/>
    </row>
    <row r="37" spans="1:14" ht="88.2">
      <c r="A37" s="11"/>
      <c r="B37" s="119" t="str">
        <f>master!B28</f>
        <v>モジュール4：プロンプトエンジニアリング</v>
      </c>
      <c r="C37" s="51" t="str">
        <f>master!C28</f>
        <v>4-1. プロンプトとは?</v>
      </c>
      <c r="D37" s="112" t="s">
        <v>172</v>
      </c>
      <c r="E37" s="113"/>
      <c r="F37" s="114"/>
      <c r="G37" s="51" t="s">
        <v>45</v>
      </c>
      <c r="H37" s="12"/>
      <c r="I37" s="49" t="s">
        <v>25</v>
      </c>
      <c r="J37" s="47">
        <v>1.3888888888888889E-3</v>
      </c>
      <c r="K37" s="43"/>
      <c r="L37" s="6"/>
      <c r="M37" s="6"/>
      <c r="N37" s="6"/>
    </row>
    <row r="38" spans="1:14" ht="37.799999999999997">
      <c r="A38" s="11"/>
      <c r="B38" s="120"/>
      <c r="C38" s="51" t="str">
        <f>master!C29</f>
        <v>4-2. プロンプトを構成する4つの要素</v>
      </c>
      <c r="D38" s="112"/>
      <c r="E38" s="113"/>
      <c r="F38" s="114"/>
      <c r="G38" s="51" t="s">
        <v>40</v>
      </c>
      <c r="H38" s="12"/>
      <c r="I38" s="49" t="s">
        <v>25</v>
      </c>
      <c r="J38" s="47">
        <v>1.3888888888888889E-3</v>
      </c>
      <c r="K38" s="43"/>
      <c r="L38" s="6"/>
      <c r="M38" s="6"/>
      <c r="N38" s="6"/>
    </row>
    <row r="39" spans="1:14" ht="37.799999999999997">
      <c r="A39" s="11"/>
      <c r="B39" s="120"/>
      <c r="C39" s="51" t="str">
        <f>master!C30</f>
        <v>4-3. 悪いプロンプト vs 良いプロンプト</v>
      </c>
      <c r="D39" s="112"/>
      <c r="E39" s="113"/>
      <c r="F39" s="114"/>
      <c r="G39" s="51" t="s">
        <v>40</v>
      </c>
      <c r="H39" s="12"/>
      <c r="I39" s="49" t="s">
        <v>25</v>
      </c>
      <c r="J39" s="47">
        <v>1.3888888888888889E-3</v>
      </c>
      <c r="K39" s="43"/>
      <c r="L39" s="6"/>
      <c r="M39" s="6"/>
      <c r="N39" s="6"/>
    </row>
    <row r="40" spans="1:14" ht="37.799999999999997">
      <c r="A40" s="11"/>
      <c r="B40" s="120"/>
      <c r="C40" s="51" t="str">
        <f>master!C31</f>
        <v>4-4. テクニック①：Role Prompting（役割の付与）</v>
      </c>
      <c r="D40" s="112"/>
      <c r="E40" s="113"/>
      <c r="F40" s="114"/>
      <c r="G40" s="51" t="s">
        <v>40</v>
      </c>
      <c r="H40" s="12"/>
      <c r="I40" s="49" t="s">
        <v>25</v>
      </c>
      <c r="J40" s="47">
        <v>2.0833333333333333E-3</v>
      </c>
      <c r="K40" s="43"/>
      <c r="L40" s="6"/>
      <c r="M40" s="6"/>
      <c r="N40" s="6"/>
    </row>
    <row r="41" spans="1:14" ht="37.799999999999997">
      <c r="A41" s="11"/>
      <c r="B41" s="120"/>
      <c r="C41" s="51" t="str">
        <f>master!C32</f>
        <v>4-5. テクニック②：区切り文字の活用</v>
      </c>
      <c r="D41" s="112"/>
      <c r="E41" s="113"/>
      <c r="F41" s="114"/>
      <c r="G41" s="51" t="s">
        <v>40</v>
      </c>
      <c r="H41" s="12"/>
      <c r="I41" s="49" t="s">
        <v>25</v>
      </c>
      <c r="J41" s="47">
        <v>2.0833333333333333E-3</v>
      </c>
      <c r="K41" s="43"/>
      <c r="L41" s="6"/>
      <c r="M41" s="6"/>
      <c r="N41" s="6"/>
    </row>
    <row r="42" spans="1:14" ht="37.799999999999997">
      <c r="A42" s="11"/>
      <c r="B42" s="120"/>
      <c r="C42" s="51" t="str">
        <f>master!C33</f>
        <v>4-6. テクニック③：Zero-shot vs Few-shot</v>
      </c>
      <c r="D42" s="112"/>
      <c r="E42" s="113"/>
      <c r="F42" s="114"/>
      <c r="G42" s="51" t="s">
        <v>40</v>
      </c>
      <c r="H42" s="12"/>
      <c r="I42" s="49" t="s">
        <v>25</v>
      </c>
      <c r="J42" s="47">
        <v>2.0833333333333333E-3</v>
      </c>
      <c r="K42" s="43"/>
      <c r="L42" s="6"/>
      <c r="M42" s="6"/>
      <c r="N42" s="6"/>
    </row>
    <row r="43" spans="1:14" ht="50.4">
      <c r="A43" s="11"/>
      <c r="B43" s="121"/>
      <c r="C43" s="51" t="str">
        <f>master!C34</f>
        <v>4-7. テクニック④：Chain of Thought（思考の連鎖）</v>
      </c>
      <c r="D43" s="112"/>
      <c r="E43" s="113"/>
      <c r="F43" s="114"/>
      <c r="G43" s="51" t="s">
        <v>41</v>
      </c>
      <c r="H43" s="12"/>
      <c r="I43" s="49" t="s">
        <v>25</v>
      </c>
      <c r="J43" s="47">
        <v>2.0833333333333333E-3</v>
      </c>
      <c r="K43" s="43"/>
      <c r="L43" s="6"/>
      <c r="M43" s="6"/>
      <c r="N43" s="6"/>
    </row>
    <row r="44" spans="1:14" ht="75.599999999999994">
      <c r="A44" s="11"/>
      <c r="B44" s="122" t="str">
        <f>master!B35</f>
        <v>モジュール5：ハンズオン（ChatGPT）</v>
      </c>
      <c r="C44" s="64" t="str">
        <f>master!C35</f>
        <v>5-1. ChatGPTの使い方（一般チャット）</v>
      </c>
      <c r="D44" s="125" t="s">
        <v>173</v>
      </c>
      <c r="E44" s="126"/>
      <c r="F44" s="127"/>
      <c r="G44" s="64" t="s">
        <v>42</v>
      </c>
      <c r="H44" s="65"/>
      <c r="I44" s="66" t="s">
        <v>25</v>
      </c>
      <c r="J44" s="67">
        <v>6.9444444444444447E-4</v>
      </c>
      <c r="K44" s="68"/>
      <c r="L44" s="6"/>
      <c r="M44" s="6"/>
      <c r="N44" s="6"/>
    </row>
    <row r="45" spans="1:14" ht="126">
      <c r="A45" s="11"/>
      <c r="B45" s="123"/>
      <c r="C45" s="64" t="str">
        <f>master!C36</f>
        <v>5-2. 例①：顧客提案向けの企画提案書を作りたい</v>
      </c>
      <c r="D45" s="125" t="s">
        <v>181</v>
      </c>
      <c r="E45" s="126"/>
      <c r="F45" s="127"/>
      <c r="G45" s="64" t="s">
        <v>44</v>
      </c>
      <c r="H45" s="65"/>
      <c r="I45" s="66" t="s">
        <v>25</v>
      </c>
      <c r="J45" s="67">
        <v>1.3888888888888889E-3</v>
      </c>
      <c r="K45" s="68"/>
      <c r="L45" s="6"/>
      <c r="M45" s="6"/>
      <c r="N45" s="6"/>
    </row>
    <row r="46" spans="1:14" ht="126">
      <c r="A46" s="11"/>
      <c r="B46" s="123"/>
      <c r="C46" s="64" t="str">
        <f>master!C37</f>
        <v>5-3. 例①：顧客提案向けの企画提案書を作りたい - プロンプト例</v>
      </c>
      <c r="D46" s="125" t="s">
        <v>141</v>
      </c>
      <c r="E46" s="126"/>
      <c r="F46" s="127"/>
      <c r="G46" s="64" t="s">
        <v>44</v>
      </c>
      <c r="H46" s="65"/>
      <c r="I46" s="66" t="s">
        <v>25</v>
      </c>
      <c r="J46" s="67">
        <v>3.472222222222222E-3</v>
      </c>
      <c r="K46" s="68"/>
      <c r="L46" s="6"/>
      <c r="M46" s="6"/>
      <c r="N46" s="6"/>
    </row>
    <row r="47" spans="1:14" ht="37.799999999999997">
      <c r="A47" s="11"/>
      <c r="B47" s="123"/>
      <c r="C47" s="64" t="str">
        <f>master!C38</f>
        <v>5-4. 例①：顧客提案向けの企画提案書を作りたい - 実行例</v>
      </c>
      <c r="D47" s="125" t="s">
        <v>140</v>
      </c>
      <c r="E47" s="126"/>
      <c r="F47" s="127"/>
      <c r="G47" s="64" t="s">
        <v>40</v>
      </c>
      <c r="H47" s="65"/>
      <c r="I47" s="66" t="s">
        <v>25</v>
      </c>
      <c r="J47" s="67">
        <v>6.9444444444444447E-4</v>
      </c>
      <c r="K47" s="68"/>
      <c r="L47" s="6"/>
      <c r="M47" s="6"/>
      <c r="N47" s="6"/>
    </row>
    <row r="48" spans="1:14" ht="88.2">
      <c r="A48" s="11"/>
      <c r="B48" s="123"/>
      <c r="C48" s="84"/>
      <c r="D48" s="115" t="s">
        <v>180</v>
      </c>
      <c r="E48" s="116"/>
      <c r="F48" s="117"/>
      <c r="G48" s="84" t="s">
        <v>45</v>
      </c>
      <c r="H48" s="85"/>
      <c r="I48" s="86" t="s">
        <v>25</v>
      </c>
      <c r="J48" s="87">
        <v>1.3888888888888888E-2</v>
      </c>
      <c r="K48" s="88" t="s">
        <v>128</v>
      </c>
      <c r="L48" s="6"/>
      <c r="M48" s="6"/>
      <c r="N48" s="6"/>
    </row>
    <row r="49" spans="1:14" ht="50.4">
      <c r="A49" s="11"/>
      <c r="B49" s="123"/>
      <c r="C49" s="64" t="str">
        <f>master!C39</f>
        <v>5-5. 例②：100本ノックを作ってみる</v>
      </c>
      <c r="D49" s="125" t="s">
        <v>188</v>
      </c>
      <c r="E49" s="126"/>
      <c r="F49" s="127"/>
      <c r="G49" s="64" t="s">
        <v>41</v>
      </c>
      <c r="H49" s="65"/>
      <c r="I49" s="66" t="s">
        <v>25</v>
      </c>
      <c r="J49" s="67">
        <v>1.3888888888888889E-3</v>
      </c>
      <c r="K49" s="68"/>
      <c r="L49" s="6"/>
      <c r="M49" s="6"/>
      <c r="N49" s="6"/>
    </row>
    <row r="50" spans="1:14" ht="75.599999999999994">
      <c r="A50" s="11"/>
      <c r="B50" s="123"/>
      <c r="C50" s="128" t="str">
        <f>master!C40</f>
        <v>5-6. 例②：100本ノックを作ってみる -プロンプト例</v>
      </c>
      <c r="D50" s="125" t="s">
        <v>174</v>
      </c>
      <c r="E50" s="126"/>
      <c r="F50" s="127"/>
      <c r="G50" s="64" t="s">
        <v>42</v>
      </c>
      <c r="H50" s="65"/>
      <c r="I50" s="66" t="s">
        <v>25</v>
      </c>
      <c r="J50" s="67">
        <v>1.3888888888888889E-3</v>
      </c>
      <c r="K50" s="68"/>
      <c r="L50" s="6"/>
      <c r="M50" s="6"/>
      <c r="N50" s="6"/>
    </row>
    <row r="51" spans="1:14" ht="88.2">
      <c r="A51" s="11"/>
      <c r="B51" s="123"/>
      <c r="C51" s="129"/>
      <c r="D51" s="115" t="s">
        <v>182</v>
      </c>
      <c r="E51" s="116"/>
      <c r="F51" s="117"/>
      <c r="G51" s="84" t="s">
        <v>45</v>
      </c>
      <c r="H51" s="85"/>
      <c r="I51" s="86" t="s">
        <v>187</v>
      </c>
      <c r="J51" s="87">
        <v>1.3888888888888888E-2</v>
      </c>
      <c r="K51" s="88" t="s">
        <v>128</v>
      </c>
      <c r="L51" s="6"/>
      <c r="M51" s="6"/>
      <c r="N51" s="6"/>
    </row>
    <row r="52" spans="1:14" ht="50.4">
      <c r="A52" s="11"/>
      <c r="B52" s="123"/>
      <c r="C52" s="64" t="str">
        <f>master!C41</f>
        <v>5-7. 例②：100本ノックを作ってみる - 実行結果①</v>
      </c>
      <c r="D52" s="125" t="s">
        <v>151</v>
      </c>
      <c r="E52" s="126"/>
      <c r="F52" s="127"/>
      <c r="G52" s="64" t="s">
        <v>41</v>
      </c>
      <c r="H52" s="65"/>
      <c r="I52" s="66" t="s">
        <v>25</v>
      </c>
      <c r="J52" s="67">
        <v>6.9444444444444447E-4</v>
      </c>
      <c r="K52" s="68"/>
      <c r="L52" s="6"/>
      <c r="M52" s="6"/>
      <c r="N52" s="6"/>
    </row>
    <row r="53" spans="1:14" ht="50.4">
      <c r="A53" s="11"/>
      <c r="B53" s="123"/>
      <c r="C53" s="64" t="str">
        <f>master!C42</f>
        <v>5-8. 例②：100本ノックを作ってみる - 実行結果②</v>
      </c>
      <c r="D53" s="125" t="s">
        <v>152</v>
      </c>
      <c r="E53" s="126"/>
      <c r="F53" s="127"/>
      <c r="G53" s="64" t="s">
        <v>41</v>
      </c>
      <c r="H53" s="65"/>
      <c r="I53" s="66" t="s">
        <v>25</v>
      </c>
      <c r="J53" s="67">
        <v>6.9444444444444447E-4</v>
      </c>
      <c r="K53" s="68"/>
      <c r="L53" s="6"/>
      <c r="M53" s="6"/>
      <c r="N53" s="6"/>
    </row>
    <row r="54" spans="1:14" ht="50.4">
      <c r="A54" s="11"/>
      <c r="B54" s="123"/>
      <c r="C54" s="64" t="str">
        <f>master!C43</f>
        <v>5-9. 例②：100本ノックを作ってみる - 実行結果③</v>
      </c>
      <c r="D54" s="125" t="s">
        <v>153</v>
      </c>
      <c r="E54" s="126"/>
      <c r="F54" s="127"/>
      <c r="G54" s="64" t="s">
        <v>41</v>
      </c>
      <c r="H54" s="65"/>
      <c r="I54" s="66" t="s">
        <v>25</v>
      </c>
      <c r="J54" s="67">
        <v>6.9444444444444447E-4</v>
      </c>
      <c r="K54" s="68"/>
      <c r="L54" s="6"/>
      <c r="M54" s="6"/>
      <c r="N54" s="6"/>
    </row>
    <row r="55" spans="1:14" ht="63">
      <c r="A55" s="11"/>
      <c r="B55" s="124"/>
      <c r="C55" s="64" t="str">
        <f>master!C44</f>
        <v>5-10. ChatGPT まとめ</v>
      </c>
      <c r="D55" s="125" t="s">
        <v>142</v>
      </c>
      <c r="E55" s="126"/>
      <c r="F55" s="127"/>
      <c r="G55" s="64" t="s">
        <v>39</v>
      </c>
      <c r="H55" s="65"/>
      <c r="I55" s="66" t="s">
        <v>25</v>
      </c>
      <c r="J55" s="67">
        <v>1.3888888888888889E-3</v>
      </c>
      <c r="K55" s="68"/>
      <c r="L55" s="6"/>
      <c r="M55" s="6"/>
      <c r="N55" s="6"/>
    </row>
    <row r="56" spans="1:14" ht="50.4" customHeight="1">
      <c r="A56" s="11"/>
      <c r="B56" s="123" t="str">
        <f>master!B45</f>
        <v>モジュール6：ハンズオン（ GitHub Copilot ）</v>
      </c>
      <c r="C56" s="64" t="str">
        <f>master!C45</f>
        <v>6-1. Visual Studio Code を開く</v>
      </c>
      <c r="D56" s="125" t="s">
        <v>143</v>
      </c>
      <c r="E56" s="126"/>
      <c r="F56" s="127"/>
      <c r="G56" s="64" t="s">
        <v>41</v>
      </c>
      <c r="H56" s="65"/>
      <c r="I56" s="66" t="s">
        <v>25</v>
      </c>
      <c r="J56" s="67">
        <v>6.9444444444444447E-4</v>
      </c>
      <c r="K56" s="68"/>
      <c r="L56" s="6"/>
      <c r="M56" s="6"/>
      <c r="N56" s="6"/>
    </row>
    <row r="57" spans="1:14" ht="63">
      <c r="A57" s="11"/>
      <c r="B57" s="123"/>
      <c r="C57" s="64" t="str">
        <f>master!C46</f>
        <v>6-2. コード補完機能</v>
      </c>
      <c r="D57" s="125" t="s">
        <v>144</v>
      </c>
      <c r="E57" s="126"/>
      <c r="F57" s="127"/>
      <c r="G57" s="64" t="s">
        <v>39</v>
      </c>
      <c r="H57" s="65"/>
      <c r="I57" s="66" t="s">
        <v>25</v>
      </c>
      <c r="J57" s="67">
        <v>1.3888888888888889E-3</v>
      </c>
      <c r="K57" s="68"/>
      <c r="L57" s="6"/>
      <c r="M57" s="6"/>
      <c r="N57" s="6"/>
    </row>
    <row r="58" spans="1:14" ht="75.599999999999994">
      <c r="A58" s="11"/>
      <c r="B58" s="123"/>
      <c r="C58" s="64" t="str">
        <f>master!C47</f>
        <v>6-3. チャット機能</v>
      </c>
      <c r="D58" s="125" t="s">
        <v>198</v>
      </c>
      <c r="E58" s="126"/>
      <c r="F58" s="127"/>
      <c r="G58" s="64" t="s">
        <v>42</v>
      </c>
      <c r="H58" s="65"/>
      <c r="I58" s="66" t="s">
        <v>25</v>
      </c>
      <c r="J58" s="67">
        <v>2.0833333333333333E-3</v>
      </c>
      <c r="K58" s="68"/>
      <c r="L58" s="6"/>
      <c r="M58" s="6"/>
      <c r="N58" s="6"/>
    </row>
    <row r="59" spans="1:14" ht="88.2">
      <c r="A59" s="11"/>
      <c r="B59" s="123"/>
      <c r="C59" s="64" t="str">
        <f>master!C48</f>
        <v>6-4. チャット機能 - コマンド</v>
      </c>
      <c r="D59" s="125" t="s">
        <v>197</v>
      </c>
      <c r="E59" s="126"/>
      <c r="F59" s="127"/>
      <c r="G59" s="64" t="s">
        <v>45</v>
      </c>
      <c r="H59" s="65"/>
      <c r="I59" s="66" t="s">
        <v>25</v>
      </c>
      <c r="J59" s="67">
        <v>2.0833333333333333E-3</v>
      </c>
      <c r="K59" s="68"/>
      <c r="L59" s="6"/>
      <c r="M59" s="6"/>
      <c r="N59" s="6"/>
    </row>
    <row r="60" spans="1:14" ht="50.4">
      <c r="A60" s="11"/>
      <c r="B60" s="123"/>
      <c r="C60" s="64" t="str">
        <f>master!C49</f>
        <v>6-5. 簡単なアプリやゲームを作ってみましょう</v>
      </c>
      <c r="D60" s="125" t="s">
        <v>165</v>
      </c>
      <c r="E60" s="126"/>
      <c r="F60" s="127"/>
      <c r="G60" s="64" t="s">
        <v>41</v>
      </c>
      <c r="H60" s="65"/>
      <c r="I60" s="66" t="s">
        <v>25</v>
      </c>
      <c r="J60" s="67">
        <v>6.9444444444444447E-4</v>
      </c>
      <c r="K60" s="68"/>
      <c r="L60" s="6"/>
      <c r="M60" s="6"/>
      <c r="N60" s="6"/>
    </row>
    <row r="61" spans="1:14" ht="50.4">
      <c r="A61" s="11"/>
      <c r="B61" s="123"/>
      <c r="C61" s="64" t="str">
        <f>master!C50</f>
        <v>6-6. 例①：高級志向テトリス</v>
      </c>
      <c r="D61" s="125" t="s">
        <v>168</v>
      </c>
      <c r="E61" s="126"/>
      <c r="F61" s="127"/>
      <c r="G61" s="64" t="s">
        <v>41</v>
      </c>
      <c r="H61" s="65"/>
      <c r="I61" s="66" t="s">
        <v>25</v>
      </c>
      <c r="J61" s="67">
        <v>6.9444444444444447E-4</v>
      </c>
      <c r="K61" s="68"/>
      <c r="L61" s="6"/>
      <c r="M61" s="6"/>
      <c r="N61" s="6"/>
    </row>
    <row r="62" spans="1:14" ht="50.4">
      <c r="A62" s="11"/>
      <c r="B62" s="123"/>
      <c r="C62" s="64" t="str">
        <f>master!C51</f>
        <v>6-7. 例②：わくわく！にっぽんダーツの旅</v>
      </c>
      <c r="D62" s="125" t="s">
        <v>166</v>
      </c>
      <c r="E62" s="126"/>
      <c r="F62" s="127"/>
      <c r="G62" s="64" t="s">
        <v>41</v>
      </c>
      <c r="H62" s="65"/>
      <c r="I62" s="66" t="s">
        <v>25</v>
      </c>
      <c r="J62" s="67">
        <v>6.9444444444444447E-4</v>
      </c>
      <c r="K62" s="68"/>
      <c r="L62" s="6"/>
      <c r="M62" s="6"/>
      <c r="N62" s="6"/>
    </row>
    <row r="63" spans="1:14" ht="50.4">
      <c r="A63" s="11"/>
      <c r="B63" s="123"/>
      <c r="C63" s="128" t="str">
        <f>master!C52</f>
        <v>6-8. 例③：タスク管理ツール</v>
      </c>
      <c r="D63" s="125" t="s">
        <v>167</v>
      </c>
      <c r="E63" s="126"/>
      <c r="F63" s="127"/>
      <c r="G63" s="64" t="s">
        <v>41</v>
      </c>
      <c r="H63" s="65"/>
      <c r="I63" s="66" t="s">
        <v>25</v>
      </c>
      <c r="J63" s="67">
        <v>6.9444444444444447E-4</v>
      </c>
      <c r="K63" s="68"/>
      <c r="L63" s="6"/>
      <c r="M63" s="6"/>
      <c r="N63" s="6"/>
    </row>
    <row r="64" spans="1:14" ht="138.6">
      <c r="A64" s="11"/>
      <c r="B64" s="123"/>
      <c r="C64" s="129"/>
      <c r="D64" s="115" t="s">
        <v>179</v>
      </c>
      <c r="E64" s="116"/>
      <c r="F64" s="117"/>
      <c r="G64" s="84" t="s">
        <v>38</v>
      </c>
      <c r="H64" s="85"/>
      <c r="I64" s="86" t="s">
        <v>129</v>
      </c>
      <c r="J64" s="87">
        <v>2.0833333333333332E-2</v>
      </c>
      <c r="K64" s="88"/>
      <c r="L64" s="6"/>
      <c r="M64" s="6"/>
      <c r="N64" s="6"/>
    </row>
    <row r="65" spans="1:14" ht="75.599999999999994">
      <c r="A65" s="11"/>
      <c r="B65" s="123"/>
      <c r="C65" s="128" t="str">
        <f>master!C53</f>
        <v>6-9. ディレクトリ作成とファイル配置</v>
      </c>
      <c r="D65" s="125" t="s">
        <v>183</v>
      </c>
      <c r="E65" s="126"/>
      <c r="F65" s="127"/>
      <c r="G65" s="64" t="s">
        <v>42</v>
      </c>
      <c r="H65" s="65"/>
      <c r="I65" s="66" t="s">
        <v>25</v>
      </c>
      <c r="J65" s="67">
        <v>1.3888888888888889E-3</v>
      </c>
      <c r="K65" s="68"/>
      <c r="L65" s="6"/>
      <c r="M65" s="6"/>
      <c r="N65" s="6"/>
    </row>
    <row r="66" spans="1:14" ht="88.2">
      <c r="A66" s="11"/>
      <c r="B66" s="123"/>
      <c r="C66" s="129"/>
      <c r="D66" s="115" t="s">
        <v>199</v>
      </c>
      <c r="E66" s="116"/>
      <c r="F66" s="117"/>
      <c r="G66" s="84" t="s">
        <v>45</v>
      </c>
      <c r="H66" s="85"/>
      <c r="I66" s="86" t="s">
        <v>129</v>
      </c>
      <c r="J66" s="87">
        <v>3.472222222222222E-3</v>
      </c>
      <c r="K66" s="88"/>
      <c r="L66" s="6"/>
      <c r="M66" s="6"/>
      <c r="N66" s="6"/>
    </row>
    <row r="67" spans="1:14" ht="50.4">
      <c r="A67" s="11"/>
      <c r="B67" s="123"/>
      <c r="C67" s="64" t="str">
        <f>master!C54</f>
        <v>6-10. チャット機能 - Askモード</v>
      </c>
      <c r="D67" s="125" t="s">
        <v>194</v>
      </c>
      <c r="E67" s="126"/>
      <c r="F67" s="127"/>
      <c r="G67" s="64" t="s">
        <v>41</v>
      </c>
      <c r="H67" s="65"/>
      <c r="I67" s="66" t="s">
        <v>25</v>
      </c>
      <c r="J67" s="67">
        <v>6.9444444444444447E-4</v>
      </c>
      <c r="K67" s="68"/>
      <c r="L67" s="6"/>
      <c r="M67" s="6"/>
      <c r="N67" s="6"/>
    </row>
    <row r="68" spans="1:14" ht="100.8">
      <c r="A68" s="11"/>
      <c r="B68" s="123"/>
      <c r="C68" s="64" t="str">
        <f>master!C55</f>
        <v>6-11. Askモードについて</v>
      </c>
      <c r="D68" s="125" t="s">
        <v>146</v>
      </c>
      <c r="E68" s="126"/>
      <c r="F68" s="127"/>
      <c r="G68" s="64" t="s">
        <v>47</v>
      </c>
      <c r="H68" s="65"/>
      <c r="I68" s="66" t="s">
        <v>25</v>
      </c>
      <c r="J68" s="67">
        <v>1.3888888888888889E-3</v>
      </c>
      <c r="K68" s="68"/>
      <c r="L68" s="6"/>
      <c r="M68" s="6"/>
      <c r="N68" s="6"/>
    </row>
    <row r="69" spans="1:14" ht="50.4">
      <c r="A69" s="11"/>
      <c r="B69" s="123"/>
      <c r="C69" s="64" t="str">
        <f>master!C56</f>
        <v>6-12. 実行例①</v>
      </c>
      <c r="D69" s="125" t="s">
        <v>150</v>
      </c>
      <c r="E69" s="126"/>
      <c r="F69" s="127"/>
      <c r="G69" s="64" t="s">
        <v>41</v>
      </c>
      <c r="H69" s="65"/>
      <c r="I69" s="66" t="s">
        <v>25</v>
      </c>
      <c r="J69" s="67">
        <v>1.3888888888888889E-3</v>
      </c>
      <c r="K69" s="68"/>
      <c r="L69" s="6"/>
      <c r="M69" s="6"/>
      <c r="N69" s="6"/>
    </row>
    <row r="70" spans="1:14" ht="50.4">
      <c r="A70" s="11"/>
      <c r="B70" s="123"/>
      <c r="C70" s="64" t="str">
        <f>master!C57</f>
        <v>6-13. 実行例②</v>
      </c>
      <c r="D70" s="125" t="s">
        <v>148</v>
      </c>
      <c r="E70" s="126"/>
      <c r="F70" s="127"/>
      <c r="G70" s="64" t="s">
        <v>41</v>
      </c>
      <c r="H70" s="65"/>
      <c r="I70" s="66" t="s">
        <v>25</v>
      </c>
      <c r="J70" s="67">
        <v>1.3888888888888889E-3</v>
      </c>
      <c r="K70" s="68"/>
      <c r="L70" s="6"/>
      <c r="M70" s="6"/>
      <c r="N70" s="6"/>
    </row>
    <row r="71" spans="1:14" ht="50.4">
      <c r="A71" s="11"/>
      <c r="B71" s="123"/>
      <c r="C71" s="128" t="str">
        <f>master!C58</f>
        <v>6-14. 実行例③</v>
      </c>
      <c r="D71" s="125" t="s">
        <v>149</v>
      </c>
      <c r="E71" s="126"/>
      <c r="F71" s="127"/>
      <c r="G71" s="64" t="s">
        <v>41</v>
      </c>
      <c r="H71" s="65"/>
      <c r="I71" s="66" t="s">
        <v>25</v>
      </c>
      <c r="J71" s="67">
        <v>1.3888888888888889E-3</v>
      </c>
      <c r="K71" s="68"/>
      <c r="L71" s="6"/>
      <c r="M71" s="6"/>
      <c r="N71" s="6"/>
    </row>
    <row r="72" spans="1:14" ht="138.6">
      <c r="A72" s="11"/>
      <c r="B72" s="123"/>
      <c r="C72" s="129"/>
      <c r="D72" s="115" t="s">
        <v>178</v>
      </c>
      <c r="E72" s="116"/>
      <c r="F72" s="117"/>
      <c r="G72" s="84" t="s">
        <v>38</v>
      </c>
      <c r="H72" s="85"/>
      <c r="I72" s="86" t="s">
        <v>129</v>
      </c>
      <c r="J72" s="87">
        <v>2.0833333333333332E-2</v>
      </c>
      <c r="K72" s="88"/>
      <c r="L72" s="6"/>
      <c r="M72" s="6"/>
      <c r="N72" s="6"/>
    </row>
    <row r="73" spans="1:14" ht="63">
      <c r="A73" s="11"/>
      <c r="B73" s="123"/>
      <c r="C73" s="64" t="str">
        <f>master!C59</f>
        <v>6-15. Askモードまとめ</v>
      </c>
      <c r="D73" s="125" t="s">
        <v>145</v>
      </c>
      <c r="E73" s="126"/>
      <c r="F73" s="127"/>
      <c r="G73" s="64" t="s">
        <v>39</v>
      </c>
      <c r="H73" s="65"/>
      <c r="I73" s="66" t="s">
        <v>25</v>
      </c>
      <c r="J73" s="67">
        <v>1.3888888888888889E-3</v>
      </c>
      <c r="K73" s="68"/>
      <c r="L73" s="6"/>
      <c r="M73" s="6"/>
      <c r="N73" s="6"/>
    </row>
    <row r="74" spans="1:14" ht="50.4">
      <c r="A74" s="11"/>
      <c r="B74" s="123"/>
      <c r="C74" s="64" t="str">
        <f>master!C60</f>
        <v>6-16. チャット機能 - Agentモード</v>
      </c>
      <c r="D74" s="125" t="s">
        <v>195</v>
      </c>
      <c r="E74" s="126"/>
      <c r="F74" s="127"/>
      <c r="G74" s="64" t="s">
        <v>41</v>
      </c>
      <c r="H74" s="65"/>
      <c r="I74" s="66" t="s">
        <v>25</v>
      </c>
      <c r="J74" s="67">
        <v>6.9444444444444447E-4</v>
      </c>
      <c r="K74" s="68"/>
      <c r="L74" s="6"/>
      <c r="M74" s="6"/>
      <c r="N74" s="6"/>
    </row>
    <row r="75" spans="1:14" ht="63">
      <c r="A75" s="11"/>
      <c r="B75" s="123"/>
      <c r="C75" s="64" t="str">
        <f>master!C61</f>
        <v>6-17. Agentモード</v>
      </c>
      <c r="D75" s="125" t="s">
        <v>154</v>
      </c>
      <c r="E75" s="126"/>
      <c r="F75" s="127"/>
      <c r="G75" s="64" t="s">
        <v>39</v>
      </c>
      <c r="H75" s="65"/>
      <c r="I75" s="66" t="s">
        <v>25</v>
      </c>
      <c r="J75" s="67">
        <v>1.3888888888888889E-3</v>
      </c>
      <c r="K75" s="68"/>
      <c r="L75" s="6"/>
      <c r="M75" s="6"/>
      <c r="N75" s="6"/>
    </row>
    <row r="76" spans="1:14" ht="50.4">
      <c r="A76" s="11"/>
      <c r="B76" s="123"/>
      <c r="C76" s="64" t="str">
        <f>master!C62</f>
        <v>6-18. 実行例</v>
      </c>
      <c r="D76" s="125" t="s">
        <v>155</v>
      </c>
      <c r="E76" s="126"/>
      <c r="F76" s="127"/>
      <c r="G76" s="64" t="s">
        <v>41</v>
      </c>
      <c r="H76" s="65"/>
      <c r="I76" s="66" t="s">
        <v>25</v>
      </c>
      <c r="J76" s="67">
        <v>1.3888888888888889E-3</v>
      </c>
      <c r="K76" s="68"/>
      <c r="L76" s="6"/>
      <c r="M76" s="6"/>
      <c r="N76" s="6"/>
    </row>
    <row r="77" spans="1:14" ht="37.799999999999997">
      <c r="A77" s="11"/>
      <c r="B77" s="123"/>
      <c r="C77" s="64" t="str">
        <f>master!C63</f>
        <v>6-19. READMEの内容を確認しましょう①</v>
      </c>
      <c r="D77" s="125" t="s">
        <v>201</v>
      </c>
      <c r="E77" s="126"/>
      <c r="F77" s="127"/>
      <c r="G77" s="64" t="s">
        <v>40</v>
      </c>
      <c r="H77" s="65"/>
      <c r="I77" s="66" t="s">
        <v>25</v>
      </c>
      <c r="J77" s="67">
        <v>1.3888888888888889E-3</v>
      </c>
      <c r="K77" s="68"/>
      <c r="L77" s="6"/>
      <c r="M77" s="6"/>
      <c r="N77" s="6"/>
    </row>
    <row r="78" spans="1:14" ht="37.799999999999997">
      <c r="A78" s="11"/>
      <c r="B78" s="123"/>
      <c r="C78" s="128" t="str">
        <f>master!C64</f>
        <v>6-20. READMEの内容を確認しましょう②</v>
      </c>
      <c r="D78" s="125" t="s">
        <v>200</v>
      </c>
      <c r="E78" s="126"/>
      <c r="F78" s="127"/>
      <c r="G78" s="64" t="s">
        <v>40</v>
      </c>
      <c r="H78" s="65"/>
      <c r="I78" s="66" t="s">
        <v>25</v>
      </c>
      <c r="J78" s="67">
        <v>1.3888888888888889E-3</v>
      </c>
      <c r="K78" s="68"/>
      <c r="L78" s="6"/>
      <c r="M78" s="6"/>
      <c r="N78" s="6"/>
    </row>
    <row r="79" spans="1:14" ht="126">
      <c r="A79" s="11"/>
      <c r="B79" s="123"/>
      <c r="C79" s="129"/>
      <c r="D79" s="115" t="s">
        <v>177</v>
      </c>
      <c r="E79" s="116"/>
      <c r="F79" s="117"/>
      <c r="G79" s="84" t="s">
        <v>44</v>
      </c>
      <c r="H79" s="85"/>
      <c r="I79" s="86" t="s">
        <v>129</v>
      </c>
      <c r="J79" s="87">
        <v>1.0416666666666666E-2</v>
      </c>
      <c r="K79" s="88" t="s">
        <v>147</v>
      </c>
      <c r="L79" s="6"/>
      <c r="M79" s="6"/>
      <c r="N79" s="6"/>
    </row>
    <row r="80" spans="1:14" ht="50.4">
      <c r="A80" s="11"/>
      <c r="B80" s="123"/>
      <c r="C80" s="128" t="str">
        <f>master!C65</f>
        <v>6-21. Changeログを作ってみましょう</v>
      </c>
      <c r="D80" s="125" t="s">
        <v>156</v>
      </c>
      <c r="E80" s="126"/>
      <c r="F80" s="127"/>
      <c r="G80" s="64" t="s">
        <v>41</v>
      </c>
      <c r="H80" s="65"/>
      <c r="I80" s="66" t="s">
        <v>25</v>
      </c>
      <c r="J80" s="67">
        <v>1.3888888888888889E-3</v>
      </c>
      <c r="K80" s="68"/>
      <c r="L80" s="6"/>
      <c r="M80" s="6"/>
      <c r="N80" s="6"/>
    </row>
    <row r="81" spans="1:14" ht="113.4">
      <c r="A81" s="11"/>
      <c r="B81" s="123"/>
      <c r="C81" s="129"/>
      <c r="D81" s="115" t="s">
        <v>176</v>
      </c>
      <c r="E81" s="116"/>
      <c r="F81" s="117"/>
      <c r="G81" s="84" t="s">
        <v>43</v>
      </c>
      <c r="H81" s="85"/>
      <c r="I81" s="86" t="s">
        <v>187</v>
      </c>
      <c r="J81" s="87">
        <v>6.9444444444444441E-3</v>
      </c>
      <c r="K81" s="88" t="s">
        <v>128</v>
      </c>
      <c r="L81" s="6"/>
      <c r="M81" s="6"/>
      <c r="N81" s="6"/>
    </row>
    <row r="82" spans="1:14" ht="50.4">
      <c r="A82" s="11"/>
      <c r="B82" s="123"/>
      <c r="C82" s="64" t="str">
        <f>master!C66</f>
        <v>6-22. チャット機能 - Planモード</v>
      </c>
      <c r="D82" s="125" t="s">
        <v>196</v>
      </c>
      <c r="E82" s="126"/>
      <c r="F82" s="127"/>
      <c r="G82" s="64" t="s">
        <v>41</v>
      </c>
      <c r="H82" s="65"/>
      <c r="I82" s="66" t="s">
        <v>25</v>
      </c>
      <c r="J82" s="67">
        <v>6.9444444444444447E-4</v>
      </c>
      <c r="K82" s="68"/>
      <c r="L82" s="6"/>
      <c r="M82" s="6"/>
      <c r="N82" s="6"/>
    </row>
    <row r="83" spans="1:14" ht="63">
      <c r="A83" s="11"/>
      <c r="B83" s="123"/>
      <c r="C83" s="64" t="str">
        <f>master!C67</f>
        <v>6-23. Planモードで機能追加してみましょう</v>
      </c>
      <c r="D83" s="125" t="s">
        <v>160</v>
      </c>
      <c r="E83" s="126"/>
      <c r="F83" s="127"/>
      <c r="G83" s="64" t="s">
        <v>39</v>
      </c>
      <c r="H83" s="65"/>
      <c r="I83" s="66" t="s">
        <v>25</v>
      </c>
      <c r="J83" s="67">
        <v>1.3888888888888889E-3</v>
      </c>
      <c r="K83" s="68"/>
      <c r="L83" s="6"/>
      <c r="M83" s="6"/>
      <c r="N83" s="6"/>
    </row>
    <row r="84" spans="1:14" ht="63">
      <c r="A84" s="11"/>
      <c r="B84" s="123"/>
      <c r="C84" s="64" t="str">
        <f>master!C68</f>
        <v>6-24. 実行例①</v>
      </c>
      <c r="D84" s="125" t="s">
        <v>157</v>
      </c>
      <c r="E84" s="126"/>
      <c r="F84" s="127"/>
      <c r="G84" s="64" t="s">
        <v>39</v>
      </c>
      <c r="H84" s="65"/>
      <c r="I84" s="66" t="s">
        <v>25</v>
      </c>
      <c r="J84" s="67">
        <v>1.3888888888888889E-3</v>
      </c>
      <c r="K84" s="68"/>
      <c r="L84" s="6"/>
      <c r="M84" s="6"/>
      <c r="N84" s="6"/>
    </row>
    <row r="85" spans="1:14" ht="50.4">
      <c r="A85" s="11"/>
      <c r="B85" s="123"/>
      <c r="C85" s="64" t="str">
        <f>master!C69</f>
        <v>6-25. 実行例②</v>
      </c>
      <c r="D85" s="125" t="s">
        <v>158</v>
      </c>
      <c r="E85" s="126"/>
      <c r="F85" s="127"/>
      <c r="G85" s="64" t="s">
        <v>41</v>
      </c>
      <c r="H85" s="65"/>
      <c r="I85" s="66" t="s">
        <v>25</v>
      </c>
      <c r="J85" s="67">
        <v>1.3888888888888889E-3</v>
      </c>
      <c r="K85" s="68"/>
      <c r="L85" s="6"/>
      <c r="M85" s="6"/>
      <c r="N85" s="6"/>
    </row>
    <row r="86" spans="1:14" ht="50.4">
      <c r="A86" s="11"/>
      <c r="B86" s="123"/>
      <c r="C86" s="128" t="str">
        <f>master!C70</f>
        <v>6-26. 実行例③</v>
      </c>
      <c r="D86" s="125" t="s">
        <v>159</v>
      </c>
      <c r="E86" s="126"/>
      <c r="F86" s="127"/>
      <c r="G86" s="64" t="s">
        <v>41</v>
      </c>
      <c r="H86" s="65"/>
      <c r="I86" s="66" t="s">
        <v>25</v>
      </c>
      <c r="J86" s="67">
        <v>1.3888888888888889E-3</v>
      </c>
      <c r="K86" s="68"/>
      <c r="L86" s="6"/>
      <c r="M86" s="6"/>
      <c r="N86" s="6"/>
    </row>
    <row r="87" spans="1:14" ht="126">
      <c r="A87" s="11"/>
      <c r="B87" s="123"/>
      <c r="C87" s="129"/>
      <c r="D87" s="115" t="s">
        <v>175</v>
      </c>
      <c r="E87" s="116"/>
      <c r="F87" s="117"/>
      <c r="G87" s="84" t="s">
        <v>44</v>
      </c>
      <c r="H87" s="85"/>
      <c r="I87" s="86" t="s">
        <v>25</v>
      </c>
      <c r="J87" s="87">
        <v>1.0416666666666666E-2</v>
      </c>
      <c r="K87" s="88"/>
      <c r="L87" s="6"/>
      <c r="M87" s="6"/>
      <c r="N87" s="6"/>
    </row>
    <row r="88" spans="1:14" ht="50.4">
      <c r="A88" s="11"/>
      <c r="B88" s="123"/>
      <c r="C88" s="64" t="str">
        <f>master!C71</f>
        <v>6-27. 実行結果①</v>
      </c>
      <c r="D88" s="125" t="s">
        <v>161</v>
      </c>
      <c r="E88" s="126"/>
      <c r="F88" s="127"/>
      <c r="G88" s="64" t="s">
        <v>41</v>
      </c>
      <c r="H88" s="65"/>
      <c r="I88" s="66" t="s">
        <v>25</v>
      </c>
      <c r="J88" s="67">
        <v>1.3888888888888889E-3</v>
      </c>
      <c r="K88" s="68"/>
      <c r="L88" s="6"/>
      <c r="M88" s="6"/>
      <c r="N88" s="6"/>
    </row>
    <row r="89" spans="1:14" ht="50.4">
      <c r="A89" s="11"/>
      <c r="B89" s="123"/>
      <c r="C89" s="64" t="str">
        <f>master!C72</f>
        <v>6-28. 実行結果②</v>
      </c>
      <c r="D89" s="125" t="s">
        <v>162</v>
      </c>
      <c r="E89" s="126"/>
      <c r="F89" s="127"/>
      <c r="G89" s="64" t="s">
        <v>41</v>
      </c>
      <c r="H89" s="65"/>
      <c r="I89" s="66" t="s">
        <v>25</v>
      </c>
      <c r="J89" s="67">
        <v>1.3888888888888889E-3</v>
      </c>
      <c r="K89" s="68"/>
      <c r="L89" s="6"/>
      <c r="M89" s="6"/>
      <c r="N89" s="6"/>
    </row>
    <row r="90" spans="1:14" ht="113.4">
      <c r="A90" s="11"/>
      <c r="B90" s="124"/>
      <c r="C90" s="64" t="str">
        <f>master!C73</f>
        <v>6-29. Planモード＆Agentモードまとめ</v>
      </c>
      <c r="D90" s="125" t="s">
        <v>163</v>
      </c>
      <c r="E90" s="126"/>
      <c r="F90" s="127"/>
      <c r="G90" s="64" t="s">
        <v>43</v>
      </c>
      <c r="H90" s="65"/>
      <c r="I90" s="66" t="s">
        <v>25</v>
      </c>
      <c r="J90" s="67">
        <v>1.3888888888888889E-3</v>
      </c>
      <c r="K90" s="68"/>
      <c r="L90" s="6"/>
      <c r="M90" s="6"/>
      <c r="N90" s="6"/>
    </row>
    <row r="91" spans="1:14" ht="102" customHeight="1">
      <c r="A91" s="11"/>
      <c r="B91" s="122" t="str">
        <f>master!B74</f>
        <v>成果物のプレゼン</v>
      </c>
      <c r="C91" s="84" t="str">
        <f>master!C74</f>
        <v>開発した成果物のプレゼン（グループ）</v>
      </c>
      <c r="D91" s="115" t="s">
        <v>191</v>
      </c>
      <c r="E91" s="116"/>
      <c r="F91" s="117"/>
      <c r="G91" s="84" t="s">
        <v>47</v>
      </c>
      <c r="H91" s="85"/>
      <c r="I91" s="86" t="s">
        <v>25</v>
      </c>
      <c r="J91" s="87">
        <v>2.0833333333333332E-2</v>
      </c>
      <c r="K91" s="88"/>
      <c r="L91" s="6"/>
      <c r="M91" s="6"/>
      <c r="N91" s="6"/>
    </row>
    <row r="92" spans="1:14" ht="88.2">
      <c r="A92" s="11"/>
      <c r="B92" s="124"/>
      <c r="C92" s="84" t="str">
        <f>master!C75</f>
        <v>開発した成果物のプレゼン（全体）</v>
      </c>
      <c r="D92" s="115" t="s">
        <v>186</v>
      </c>
      <c r="E92" s="116"/>
      <c r="F92" s="117"/>
      <c r="G92" s="84" t="s">
        <v>45</v>
      </c>
      <c r="H92" s="85"/>
      <c r="I92" s="86" t="s">
        <v>48</v>
      </c>
      <c r="J92" s="87" t="s">
        <v>36</v>
      </c>
      <c r="K92" s="88" t="s">
        <v>190</v>
      </c>
      <c r="L92" s="6"/>
      <c r="M92" s="6"/>
      <c r="N92" s="6"/>
    </row>
    <row r="93" spans="1:14" ht="15" customHeight="1">
      <c r="J93" s="46"/>
    </row>
    <row r="94" spans="1:14" ht="15" customHeight="1"/>
  </sheetData>
  <mergeCells count="99">
    <mergeCell ref="D70:F70"/>
    <mergeCell ref="B91:B92"/>
    <mergeCell ref="D80:F80"/>
    <mergeCell ref="D87:F87"/>
    <mergeCell ref="D91:F91"/>
    <mergeCell ref="D90:F90"/>
    <mergeCell ref="D89:F89"/>
    <mergeCell ref="D88:F88"/>
    <mergeCell ref="D92:F92"/>
    <mergeCell ref="D79:F79"/>
    <mergeCell ref="D65:F65"/>
    <mergeCell ref="D67:F67"/>
    <mergeCell ref="D68:F68"/>
    <mergeCell ref="D56:F56"/>
    <mergeCell ref="D57:F57"/>
    <mergeCell ref="D58:F58"/>
    <mergeCell ref="D59:F59"/>
    <mergeCell ref="D61:F61"/>
    <mergeCell ref="D62:F62"/>
    <mergeCell ref="D86:F86"/>
    <mergeCell ref="D81:F81"/>
    <mergeCell ref="D82:F82"/>
    <mergeCell ref="D83:F83"/>
    <mergeCell ref="D84:F84"/>
    <mergeCell ref="D85:F85"/>
    <mergeCell ref="B37:B43"/>
    <mergeCell ref="D60:F60"/>
    <mergeCell ref="D78:F78"/>
    <mergeCell ref="D64:F64"/>
    <mergeCell ref="D66:F66"/>
    <mergeCell ref="D72:F72"/>
    <mergeCell ref="D71:F71"/>
    <mergeCell ref="D73:F73"/>
    <mergeCell ref="D74:F74"/>
    <mergeCell ref="D75:F75"/>
    <mergeCell ref="D76:F76"/>
    <mergeCell ref="D77:F77"/>
    <mergeCell ref="D63:F63"/>
    <mergeCell ref="D48:F48"/>
    <mergeCell ref="B56:B90"/>
    <mergeCell ref="D69:F69"/>
    <mergeCell ref="D31:F31"/>
    <mergeCell ref="D30:F30"/>
    <mergeCell ref="D27:F27"/>
    <mergeCell ref="D28:F28"/>
    <mergeCell ref="D29:F29"/>
    <mergeCell ref="D42:F42"/>
    <mergeCell ref="D43:F43"/>
    <mergeCell ref="D36:F36"/>
    <mergeCell ref="D37:F37"/>
    <mergeCell ref="D38:F38"/>
    <mergeCell ref="D39:F39"/>
    <mergeCell ref="D40:F40"/>
    <mergeCell ref="D41:F41"/>
    <mergeCell ref="B44:B55"/>
    <mergeCell ref="D44:F44"/>
    <mergeCell ref="D45:F45"/>
    <mergeCell ref="D47:F47"/>
    <mergeCell ref="D49:F49"/>
    <mergeCell ref="D55:F55"/>
    <mergeCell ref="D54:F54"/>
    <mergeCell ref="D46:F46"/>
    <mergeCell ref="D53:F53"/>
    <mergeCell ref="D50:F50"/>
    <mergeCell ref="D52:F52"/>
    <mergeCell ref="D51:F51"/>
    <mergeCell ref="B17:B21"/>
    <mergeCell ref="D17:F17"/>
    <mergeCell ref="D18:F18"/>
    <mergeCell ref="D21:F21"/>
    <mergeCell ref="B22:B36"/>
    <mergeCell ref="D22:F22"/>
    <mergeCell ref="D23:F23"/>
    <mergeCell ref="D24:F24"/>
    <mergeCell ref="D25:F25"/>
    <mergeCell ref="D26:F26"/>
    <mergeCell ref="D33:F33"/>
    <mergeCell ref="D35:F35"/>
    <mergeCell ref="D34:F34"/>
    <mergeCell ref="D19:F19"/>
    <mergeCell ref="D20:F20"/>
    <mergeCell ref="D32:F32"/>
    <mergeCell ref="B12:B13"/>
    <mergeCell ref="D12:F12"/>
    <mergeCell ref="D13:F13"/>
    <mergeCell ref="B14:B16"/>
    <mergeCell ref="D14:F14"/>
    <mergeCell ref="D15:F15"/>
    <mergeCell ref="D16:F16"/>
    <mergeCell ref="B4:E4"/>
    <mergeCell ref="B5:K5"/>
    <mergeCell ref="D7:E7"/>
    <mergeCell ref="B10:B11"/>
    <mergeCell ref="C10:C11"/>
    <mergeCell ref="D10:F11"/>
    <mergeCell ref="G10:G11"/>
    <mergeCell ref="H10:H11"/>
    <mergeCell ref="I10:J10"/>
    <mergeCell ref="K10:K1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workbookViewId="0">
      <selection activeCell="C9" sqref="C9"/>
    </sheetView>
  </sheetViews>
  <sheetFormatPr defaultColWidth="8.88671875" defaultRowHeight="13.2"/>
  <cols>
    <col min="1" max="1" width="4.6640625" customWidth="1"/>
    <col min="2" max="2" width="48.109375" bestFit="1" customWidth="1"/>
  </cols>
  <sheetData>
    <row r="1" spans="2:3">
      <c r="B1" t="s">
        <v>52</v>
      </c>
    </row>
    <row r="2" spans="2:3">
      <c r="B2" s="81" t="s">
        <v>13</v>
      </c>
      <c r="C2" s="81" t="s">
        <v>14</v>
      </c>
    </row>
    <row r="3" spans="2:3">
      <c r="B3" t="s">
        <v>35</v>
      </c>
      <c r="C3" t="s">
        <v>131</v>
      </c>
    </row>
    <row r="4" spans="2:3">
      <c r="C4" t="s">
        <v>132</v>
      </c>
    </row>
    <row r="5" spans="2:3">
      <c r="B5" s="83" t="s">
        <v>57</v>
      </c>
      <c r="C5" t="s">
        <v>55</v>
      </c>
    </row>
    <row r="6" spans="2:3">
      <c r="C6" t="s">
        <v>56</v>
      </c>
    </row>
    <row r="7" spans="2:3">
      <c r="C7" t="s">
        <v>58</v>
      </c>
    </row>
    <row r="8" spans="2:3">
      <c r="B8" s="83" t="s">
        <v>103</v>
      </c>
      <c r="C8" t="s">
        <v>59</v>
      </c>
    </row>
    <row r="9" spans="2:3">
      <c r="C9" t="s">
        <v>208</v>
      </c>
    </row>
    <row r="10" spans="2:3">
      <c r="C10" t="s">
        <v>62</v>
      </c>
    </row>
    <row r="11" spans="2:3">
      <c r="C11" t="s">
        <v>61</v>
      </c>
    </row>
    <row r="12" spans="2:3">
      <c r="C12" t="s">
        <v>60</v>
      </c>
    </row>
    <row r="13" spans="2:3">
      <c r="B13" s="83" t="s">
        <v>189</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83" t="s">
        <v>81</v>
      </c>
      <c r="C28" t="s">
        <v>109</v>
      </c>
    </row>
    <row r="29" spans="2:3">
      <c r="C29" t="s">
        <v>110</v>
      </c>
    </row>
    <row r="30" spans="2:3">
      <c r="C30" t="s">
        <v>78</v>
      </c>
    </row>
    <row r="31" spans="2:3">
      <c r="C31" t="s">
        <v>111</v>
      </c>
    </row>
    <row r="32" spans="2:3">
      <c r="C32" t="s">
        <v>112</v>
      </c>
    </row>
    <row r="33" spans="2:3">
      <c r="C33" t="s">
        <v>113</v>
      </c>
    </row>
    <row r="34" spans="2:3">
      <c r="C34" t="s">
        <v>114</v>
      </c>
    </row>
    <row r="35" spans="2:3">
      <c r="B35" s="83" t="s">
        <v>80</v>
      </c>
      <c r="C35" t="s">
        <v>79</v>
      </c>
    </row>
    <row r="36" spans="2:3">
      <c r="C36" t="s">
        <v>104</v>
      </c>
    </row>
    <row r="37" spans="2:3">
      <c r="C37" t="s">
        <v>115</v>
      </c>
    </row>
    <row r="38" spans="2:3">
      <c r="C38" t="s">
        <v>116</v>
      </c>
    </row>
    <row r="39" spans="2:3">
      <c r="C39" t="s">
        <v>82</v>
      </c>
    </row>
    <row r="40" spans="2:3">
      <c r="C40" t="s">
        <v>117</v>
      </c>
    </row>
    <row r="41" spans="2:3">
      <c r="C41" t="s">
        <v>118</v>
      </c>
    </row>
    <row r="42" spans="2:3">
      <c r="C42" t="s">
        <v>119</v>
      </c>
    </row>
    <row r="43" spans="2:3">
      <c r="C43" t="s">
        <v>120</v>
      </c>
    </row>
    <row r="44" spans="2:3">
      <c r="C44" t="s">
        <v>83</v>
      </c>
    </row>
    <row r="45" spans="2:3">
      <c r="B45" s="83" t="s">
        <v>84</v>
      </c>
      <c r="C45" t="s">
        <v>85</v>
      </c>
    </row>
    <row r="46" spans="2:3">
      <c r="C46" t="s">
        <v>86</v>
      </c>
    </row>
    <row r="47" spans="2:3">
      <c r="C47" t="s">
        <v>87</v>
      </c>
    </row>
    <row r="48" spans="2:3">
      <c r="C48" t="s">
        <v>121</v>
      </c>
    </row>
    <row r="49" spans="3:3">
      <c r="C49" t="s">
        <v>88</v>
      </c>
    </row>
    <row r="50" spans="3:3">
      <c r="C50" t="s">
        <v>89</v>
      </c>
    </row>
    <row r="51" spans="3:3">
      <c r="C51" t="s">
        <v>90</v>
      </c>
    </row>
    <row r="52" spans="3:3">
      <c r="C52" t="s">
        <v>91</v>
      </c>
    </row>
    <row r="53" spans="3:3">
      <c r="C53" t="s">
        <v>92</v>
      </c>
    </row>
    <row r="54" spans="3:3">
      <c r="C54" t="s">
        <v>125</v>
      </c>
    </row>
    <row r="55" spans="3:3">
      <c r="C55" t="s">
        <v>93</v>
      </c>
    </row>
    <row r="56" spans="3:3">
      <c r="C56" t="s">
        <v>94</v>
      </c>
    </row>
    <row r="57" spans="3:3">
      <c r="C57" t="s">
        <v>95</v>
      </c>
    </row>
    <row r="58" spans="3:3">
      <c r="C58" t="s">
        <v>96</v>
      </c>
    </row>
    <row r="59" spans="3:3">
      <c r="C59" t="s">
        <v>97</v>
      </c>
    </row>
    <row r="60" spans="3:3">
      <c r="C60" t="s">
        <v>126</v>
      </c>
    </row>
    <row r="61" spans="3:3">
      <c r="C61" t="s">
        <v>98</v>
      </c>
    </row>
    <row r="62" spans="3:3">
      <c r="C62" t="s">
        <v>99</v>
      </c>
    </row>
    <row r="63" spans="3:3">
      <c r="C63" t="s">
        <v>107</v>
      </c>
    </row>
    <row r="64" spans="3:3">
      <c r="C64" t="s">
        <v>108</v>
      </c>
    </row>
    <row r="65" spans="2:3">
      <c r="C65" t="s">
        <v>100</v>
      </c>
    </row>
    <row r="66" spans="2:3">
      <c r="C66" t="s">
        <v>127</v>
      </c>
    </row>
    <row r="67" spans="2:3">
      <c r="C67" t="s">
        <v>101</v>
      </c>
    </row>
    <row r="68" spans="2:3">
      <c r="C68" t="s">
        <v>122</v>
      </c>
    </row>
    <row r="69" spans="2:3">
      <c r="C69" t="s">
        <v>123</v>
      </c>
    </row>
    <row r="70" spans="2:3">
      <c r="C70" t="s">
        <v>124</v>
      </c>
    </row>
    <row r="71" spans="2:3">
      <c r="C71" t="s">
        <v>105</v>
      </c>
    </row>
    <row r="72" spans="2:3">
      <c r="C72" t="s">
        <v>106</v>
      </c>
    </row>
    <row r="73" spans="2:3">
      <c r="C73" t="s">
        <v>102</v>
      </c>
    </row>
    <row r="74" spans="2:3">
      <c r="B74" t="s">
        <v>130</v>
      </c>
      <c r="C74" t="s">
        <v>185</v>
      </c>
    </row>
    <row r="75" spans="2:3">
      <c r="C75" t="s">
        <v>184</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2026-08-19T10:44:22Z</dcterms:modified>
</cp:coreProperties>
</file>
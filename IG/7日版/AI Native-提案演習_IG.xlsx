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7日版\"/>
    </mc:Choice>
  </mc:AlternateContent>
  <xr:revisionPtr revIDLastSave="0" documentId="13_ncr:1_{A4369A00-70B5-4A43-AD0C-6997A41DFC34}" xr6:coauthVersionLast="47" xr6:coauthVersionMax="47" xr10:uidLastSave="{00000000-0000-0000-0000-000000000000}"/>
  <bookViews>
    <workbookView xWindow="-108" yWindow="-108" windowWidth="23256" windowHeight="12456" tabRatio="860" activeTab="2" xr2:uid="{00000000-000D-0000-FFFF-FFFF00000000}"/>
  </bookViews>
  <sheets>
    <sheet name="スケジュール（3日）" sheetId="33" r:id="rId1"/>
    <sheet name="特記イベント" sheetId="36" r:id="rId2"/>
    <sheet name="講義" sheetId="31" r:id="rId3"/>
    <sheet name="master" sheetId="21" r:id="rId4"/>
  </sheets>
  <definedNames>
    <definedName name="_xlnm.Print_Area" localSheetId="0">'スケジュール（3日）'!$A$1:$H$44</definedName>
    <definedName name="_xlnm.Print_Area" localSheetId="2">講義!$A$1:$L$51</definedName>
    <definedName name="_xlnm.Print_Area" localSheetId="1">特記イベント!$A$1:$L$15</definedName>
  </definedNames>
  <calcPr calcId="191029"/>
</workbook>
</file>

<file path=xl/calcChain.xml><?xml version="1.0" encoding="utf-8"?>
<calcChain xmlns="http://schemas.openxmlformats.org/spreadsheetml/2006/main">
  <c r="C49" i="31" l="1"/>
  <c r="C50" i="31"/>
  <c r="B48" i="31"/>
  <c r="C48" i="31"/>
  <c r="C47" i="31"/>
  <c r="C14" i="33"/>
  <c r="B28" i="31"/>
  <c r="C28" i="31"/>
  <c r="B2" i="33"/>
  <c r="G11" i="33"/>
  <c r="C16" i="33"/>
  <c r="C12" i="33"/>
  <c r="C11" i="33"/>
  <c r="C29" i="31"/>
  <c r="C46" i="31"/>
  <c r="C45" i="31"/>
  <c r="C44" i="31"/>
  <c r="B41" i="31"/>
  <c r="C41" i="31"/>
  <c r="C43" i="31"/>
  <c r="C42" i="31"/>
  <c r="C40" i="31"/>
  <c r="C39" i="31"/>
  <c r="C38" i="31"/>
  <c r="C37" i="31"/>
  <c r="C36" i="31"/>
  <c r="C35" i="31"/>
  <c r="C34" i="31"/>
  <c r="C33" i="31"/>
  <c r="C32" i="31"/>
  <c r="C31" i="31"/>
  <c r="C30" i="31"/>
  <c r="C27" i="31"/>
  <c r="C26" i="31"/>
  <c r="C25" i="31"/>
  <c r="C24" i="31"/>
  <c r="C23" i="31"/>
  <c r="C22" i="31"/>
  <c r="C21" i="31"/>
  <c r="C20" i="31"/>
  <c r="C19" i="31"/>
  <c r="C18" i="31"/>
  <c r="C17" i="31"/>
  <c r="C16" i="31"/>
  <c r="B16" i="31"/>
  <c r="B15" i="31"/>
  <c r="C15"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9C44B6D1-EFF1-4F80-B895-9B2F45D9F0E8}">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938B8858-7680-4470-B4E9-3F8DB4920554}">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<sst xmlns="http://schemas.openxmlformats.org/spreadsheetml/2006/main" count="249" uniqueCount="150">
  <si>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</si>
  <si>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</si>
  <si>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</si>
  <si>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</si>
  <si>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</si>
  <si>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</si>
  <si>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</si>
  <si>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</si>
  <si>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</si>
  <si>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</si>
  <si>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</si>
  <si>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</si>
  <si>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</si>
  <si>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</si>
  <si>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</si>
  <si>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</si>
  <si>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</si>
  <si>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</si>
  <si>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</si>
  <si>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</si>
  <si>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</si>
  <si>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</si>
  <si>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</si>
  <si>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</si>
  <si>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</si>
  <si>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</si>
  <si>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</si>
  <si>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</si>
  <si>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</si>
  <si>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</si>
  <si>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</si>
  <si>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</si>
  <si>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</si>
  <si>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オリエンテーション用資材</t>
    <rPh sb="9" eb="10">
      <t>ヨウ</t>
    </rPh>
    <rPh sb="10" eb="12">
      <t>シザイ</t>
    </rPh>
    <phoneticPr fontId="3"/>
  </si>
  <si>
    <t>AI-01</t>
    <phoneticPr fontId="3"/>
  </si>
  <si>
    <t>AI-02</t>
    <phoneticPr fontId="3"/>
  </si>
  <si>
    <t xml:space="preserve">・AI-01
</t>
    <phoneticPr fontId="3"/>
  </si>
  <si>
    <t xml:space="preserve">・AI-01
</t>
    <phoneticPr fontId="3"/>
  </si>
  <si>
    <t xml:space="preserve">・AI-01
</t>
    <phoneticPr fontId="3"/>
  </si>
  <si>
    <t xml:space="preserve">・AI-01
</t>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</si>
  <si>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</si>
  <si>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</si>
  <si>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AI-03</t>
  </si>
  <si>
    <t xml:space="preserve">・AI-01
</t>
    <phoneticPr fontId="3"/>
  </si>
  <si>
    <t xml:space="preserve">・AI-01
</t>
    <phoneticPr fontId="3"/>
  </si>
  <si>
    <t xml:space="preserve">・AI-01
</t>
    <phoneticPr fontId="3"/>
  </si>
  <si>
    <t>AI Native-提案演習</t>
    <rPh sb="10" eb="14">
      <t>テイアンエンシュウ</t>
    </rPh>
    <phoneticPr fontId="3"/>
  </si>
  <si>
    <t>【AI Native提案企画研修】研修にあたって.pptx</t>
    <phoneticPr fontId="3"/>
  </si>
  <si>
    <t>【AI Native提案企画研修】提案書サンプル.pptx</t>
    <phoneticPr fontId="3"/>
  </si>
  <si>
    <t>【AI Native提案企画研修】個人演習説明.pptx</t>
    <phoneticPr fontId="3"/>
  </si>
  <si>
    <t>はじめに　｜　“Be a social designer”とは</t>
    <phoneticPr fontId="3"/>
  </si>
  <si>
    <t>企画提案のステップ</t>
    <phoneticPr fontId="3"/>
  </si>
  <si>
    <t>STEP①-1　日常の不便を考える</t>
    <phoneticPr fontId="3"/>
  </si>
  <si>
    <t>STEP①-2　課題の深掘り</t>
    <phoneticPr fontId="3"/>
  </si>
  <si>
    <t>STEP①-3　ITアイデアへ落とし込む</t>
    <phoneticPr fontId="3"/>
  </si>
  <si>
    <t>STEP②-1 創出したアイデアに関する調査・確認</t>
    <phoneticPr fontId="3"/>
  </si>
  <si>
    <t>STEP②-2 環境分析</t>
    <phoneticPr fontId="3"/>
  </si>
  <si>
    <t>（参考）PEST分析</t>
    <phoneticPr fontId="3"/>
  </si>
  <si>
    <t>（参考） 3C分析</t>
    <phoneticPr fontId="3"/>
  </si>
  <si>
    <t>（参考） SWOT分析</t>
    <phoneticPr fontId="3"/>
  </si>
  <si>
    <t>STEP③-1 提案書作成</t>
    <phoneticPr fontId="3"/>
  </si>
  <si>
    <t>STEP③-2 プロトタイプ作成</t>
    <phoneticPr fontId="3"/>
  </si>
  <si>
    <t>まとめ</t>
    <phoneticPr fontId="3"/>
  </si>
  <si>
    <t>導入</t>
    <rPh sb="0" eb="2">
      <t>ドウニュウ</t>
    </rPh>
    <phoneticPr fontId="3"/>
  </si>
  <si>
    <t>１．サマリ</t>
    <phoneticPr fontId="22"/>
  </si>
  <si>
    <t>２．背景</t>
    <phoneticPr fontId="22"/>
  </si>
  <si>
    <t>３．現状課題</t>
    <phoneticPr fontId="22"/>
  </si>
  <si>
    <t>４．業界動向・市場分析</t>
    <phoneticPr fontId="22"/>
  </si>
  <si>
    <t>５．市場機会</t>
    <phoneticPr fontId="22"/>
  </si>
  <si>
    <t>６．サービス概要</t>
    <phoneticPr fontId="22"/>
  </si>
  <si>
    <t>７．利用者体験イメージ</t>
    <phoneticPr fontId="22"/>
  </si>
  <si>
    <t>８．事業構成</t>
    <phoneticPr fontId="22"/>
  </si>
  <si>
    <t>９．提供価値</t>
    <phoneticPr fontId="22"/>
  </si>
  <si>
    <t>１０．収益モデル</t>
    <phoneticPr fontId="22"/>
  </si>
  <si>
    <t>１１．リスク・課題</t>
    <phoneticPr fontId="22"/>
  </si>
  <si>
    <t>１２．今後の展望</t>
    <phoneticPr fontId="22"/>
  </si>
  <si>
    <t>演習内容の説明</t>
    <phoneticPr fontId="3"/>
  </si>
  <si>
    <t>2 日目</t>
    <rPh sb="2" eb="3">
      <t>ニチ</t>
    </rPh>
    <rPh sb="3" eb="4">
      <t>メ</t>
    </rPh>
    <phoneticPr fontId="3"/>
  </si>
  <si>
    <t>3 日目</t>
    <rPh sb="2" eb="3">
      <t>ニチ</t>
    </rPh>
    <rPh sb="3" eb="4">
      <t>メ</t>
    </rPh>
    <phoneticPr fontId="3"/>
  </si>
  <si>
    <t>予備</t>
    <rPh sb="0" eb="2">
      <t>ヨビ</t>
    </rPh>
    <phoneticPr fontId="3"/>
  </si>
  <si>
    <t>AI-04</t>
    <phoneticPr fontId="3"/>
  </si>
  <si>
    <t xml:space="preserve">・AI-02
</t>
    <phoneticPr fontId="3"/>
  </si>
  <si>
    <t>サービスの検討</t>
    <rPh sb="5" eb="7">
      <t>ケントウ</t>
    </rPh>
    <phoneticPr fontId="3"/>
  </si>
  <si>
    <t>サービスの決定</t>
    <rPh sb="5" eb="7">
      <t>ケッテイ</t>
    </rPh>
    <phoneticPr fontId="3"/>
  </si>
  <si>
    <t>成果物の作成</t>
    <rPh sb="0" eb="3">
      <t>セイカブツ</t>
    </rPh>
    <rPh sb="4" eb="6">
      <t>サクセイ</t>
    </rPh>
    <phoneticPr fontId="3"/>
  </si>
  <si>
    <t>成果物の提出</t>
    <rPh sb="0" eb="3">
      <t>セイカブツ</t>
    </rPh>
    <rPh sb="4" eb="6">
      <t>テイシュツ</t>
    </rPh>
    <phoneticPr fontId="3"/>
  </si>
  <si>
    <t xml:space="preserve">・AI-03
</t>
    <phoneticPr fontId="3"/>
  </si>
  <si>
    <t>演習成果物の説明</t>
    <rPh sb="2" eb="5">
      <t>セイカブツ</t>
    </rPh>
    <phoneticPr fontId="3"/>
  </si>
  <si>
    <t xml:space="preserve">・AI-03
</t>
    <phoneticPr fontId="3"/>
  </si>
  <si>
    <t xml:space="preserve">・AI-03
</t>
    <phoneticPr fontId="3"/>
  </si>
  <si>
    <t xml:space="preserve">・AI-03
</t>
    <phoneticPr fontId="3"/>
  </si>
  <si>
    <t>サービスのブラッシュアップ</t>
    <phoneticPr fontId="3"/>
  </si>
  <si>
    <t xml:space="preserve">・AI-03
</t>
    <phoneticPr fontId="3"/>
  </si>
  <si>
    <t>作成した成果物を指定の場所に納品することを説明する。</t>
    <rPh sb="0" eb="2">
      <t>サクセイ</t>
    </rPh>
    <rPh sb="4" eb="7">
      <t>セイカブツ</t>
    </rPh>
    <rPh sb="8" eb="10">
      <t>シテイ</t>
    </rPh>
    <rPh sb="11" eb="13">
      <t>バショ</t>
    </rPh>
    <rPh sb="14" eb="16">
      <t>ノウヒン</t>
    </rPh>
    <rPh sb="21" eb="23">
      <t>セツメイ</t>
    </rPh>
    <phoneticPr fontId="3"/>
  </si>
  <si>
    <t>決定したサービスについて、企画提案書およびプロトタイプを作成することを説明する。
■企画提案書
　解決したい課題、ターゲットユーザー、提供価値、社会的意義、実現性、市場性などを整理し、サービスの概要をまとめること。
■プロトタイプ
　サービスの利用イメージや主要な画面を作成し、ユーザー体験を具体的に表現すること。
　なお、本演習では実装の完成度ではなく、体験設計を重視する。分かりやすさ、使いやすさ、課題への理解、アイデアの納得感が伝わるように作成すること。</t>
    <rPh sb="35" eb="37">
      <t>セツメイ</t>
    </rPh>
    <phoneticPr fontId="3"/>
  </si>
  <si>
    <t>チームメンバーからのフィードバックを踏まえ、サービス案をブラッシュアップすることを説明する。
フィードバック内容を整理し、必要に応じて課題設定、ターゲットユーザー、提供価値、機能案などを見直すこと。
ブラッシュアップ後、最終的に提案するサービスを決定する。</t>
    <phoneticPr fontId="3"/>
  </si>
  <si>
    <t>サービス案をチーム内で発表し、メンバーからフィードバックを受けることを説明する。
フィードバックでは、以下の観点を中心に意見交換を行うこと。
・提供する価値が明確か
・解決したい課題やターゲットユーザーが適切か
・社会への影響や意義があるか
・実現性や事業性に課題はないか
・市場や競合との差別化ができているか
フィードバックを踏まえ、サービス案をブラッシュアップする。</t>
    <phoneticPr fontId="3"/>
  </si>
  <si>
    <r>
      <t xml:space="preserve">解決したい課題やターゲットユーザーを明確にし、サービス案を検討することを説明する。
なお、サービス案の検討にあたっては、以下の観点を考慮すること。
・提供する価値（顧客や社会にどのような価値を提供できるか）
・社会への影響（NTT DATAとして取り組む意義があるか）
・実現性・コスト・収益性（事業として成立するか）
・市場・競合分析（市場機会があり、競争優位性を確保できるか）
</t>
    </r>
    <r>
      <rPr>
        <sz val="9"/>
        <color rgb="FFFF0000"/>
        <rFont val="Meiryo UI"/>
        <family val="3"/>
        <charset val="128"/>
      </rPr>
      <t xml:space="preserve">
【生成AI利用ルール】
・サービスの初期アイデア創出は、生成AIを利用せず自身で考えること。
・サービス案が作成できた後は、アイデアの検証、調査、市場分析、競合分析、ブラッシュアップを目的として生成AIを利用してよい。
・生成AIから得た情報は鵜呑みにせず、必要に応じて根拠や情報源を確認すること。</t>
    </r>
    <phoneticPr fontId="3"/>
  </si>
  <si>
    <t xml:space="preserve">・AI-03
</t>
    <phoneticPr fontId="3"/>
  </si>
  <si>
    <t xml:space="preserve">個人演習の概要について説明する。
■手順
1. サービスの検討
2. サービスをチーム内でブラッシュアップ
3. サービスの決定
4. 成果物の作成
5. 成果物の提出
</t>
    <rPh sb="0" eb="2">
      <t>コジン</t>
    </rPh>
    <rPh sb="69" eb="72">
      <t>セイカブツ</t>
    </rPh>
    <phoneticPr fontId="3"/>
  </si>
  <si>
    <t xml:space="preserve">・AI-01
</t>
    <phoneticPr fontId="3"/>
  </si>
  <si>
    <t>NTTデータ デジタルソサエティ事業部が掲げる理念であり、ITやデジタル技術を活用して社会課題の解決に貢献し、より良い社会を創り出すことを意味する。
利用者である国民の目線を重視しながら、行政サービスの利便性向上やデジタル化を推進することで、誰一人取り残さない社会の実現を目指している。</t>
    <phoneticPr fontId="3"/>
  </si>
  <si>
    <t>以下の手順で提案演習を実施することを説明する。
・STEP①　アイデアの創出
・STEP②　調査・確認
・STEP③　企画提案書・プロトタイプの作成</t>
    <rPh sb="0" eb="2">
      <t>イカ</t>
    </rPh>
    <rPh sb="3" eb="5">
      <t>テジュン</t>
    </rPh>
    <rPh sb="6" eb="8">
      <t>テイアン</t>
    </rPh>
    <rPh sb="8" eb="10">
      <t>エンシュウ</t>
    </rPh>
    <rPh sb="11" eb="13">
      <t>ジッシ</t>
    </rPh>
    <rPh sb="18" eb="20">
      <t>セツメイ</t>
    </rPh>
    <phoneticPr fontId="3"/>
  </si>
  <si>
    <t>表面的な問題で止めず、「なぜそれが起きているのか？」を繰り返し問いかけることで、根本的な原因を探ることを説明する。</t>
    <rPh sb="52" eb="54">
      <t>セツメイ</t>
    </rPh>
    <phoneticPr fontId="3"/>
  </si>
  <si>
    <t>深掘りした課題をもとに、「どのように解決できるか」を考え、最終的に「ITアイデアへと変換」することを説明する。
以下の順番で整理することが重要である。
1. 誰が困っているのか（対象ユーザーの明確化）
2. 何が不便なのか（具体的な課題の整理）
3. どういう状態が理想なのか（ゴールの設定）
4. ITでどのように支援できるか（手段の検討）
【よくある間違い】
× 最初から「アプリを作ろう」「システム化しよう」と発想してしまう（ITありきの発想）
→ まずは課題解決を優先し、その手段として必要であればITを活用することが重要である。</t>
    <rPh sb="29" eb="32">
      <t>サイシュウテキ</t>
    </rPh>
    <rPh sb="50" eb="52">
      <t>セツメイ</t>
    </rPh>
    <phoneticPr fontId="3"/>
  </si>
  <si>
    <t>1. 既存事例・類似事例の有無
　思いついたアイデアは、すでに世の中で実現されている可能性があるため、ネット検索や生成AIを活用して類似事例を調査する。
　※類似事例がある場合、むしろ「なぜ普及していないのか」「どこに改善余地があるのか」を分析することで、よりオリジナリティのあるアイデアにつなげる。
2. 実現可能性
　どれだけ優れたアイデアであっても、実現できなければ意味がない。
　技術的に可能か、コスト的に現実的かといった観点から、実装可能性を検討する。
3. ビジネスとしての成立性
　サービスとして継続するためには収益性が必要である。
　開発・運用コストに対して、どのように収益を得るのか（課金モデル・広告・BtoBなど）を整理し、ビジネスとして成立するかを検討する。
4. 社会への影響
　“Be a social designer”の視点として、社会全体への影響を考慮する。
　デジタル弱者への配慮、地域格差への影響、雇用への影響など、社会に対してプラスの効果を生み出せるかを確認する。</t>
    <rPh sb="79" eb="81">
      <t>ルイジ</t>
    </rPh>
    <rPh sb="86" eb="88">
      <t>バアイ</t>
    </rPh>
    <phoneticPr fontId="3"/>
  </si>
  <si>
    <t xml:space="preserve">　提案を行うにあたっては、アイデアそのものだけでなく、企業を取り巻く外部環境や、自社の強み・弱みを理解することが重要である。
　これにより、提案の実現性や説得力が高まり、より効果的なアイデア設計につながる。
・外部環境分析
　PEST分析
　3C分析
・内部環境分析
　SWOT分析
</t>
    <rPh sb="118" eb="120">
      <t>ブンセキ</t>
    </rPh>
    <rPh sb="124" eb="126">
      <t>ブンセキ</t>
    </rPh>
    <rPh sb="128" eb="130">
      <t>ナイブ</t>
    </rPh>
    <rPh sb="130" eb="132">
      <t>カンキョウ</t>
    </rPh>
    <rPh sb="132" eb="134">
      <t>ブンセキ</t>
    </rPh>
    <rPh sb="140" eb="142">
      <t>ブンセキ</t>
    </rPh>
    <phoneticPr fontId="3"/>
  </si>
  <si>
    <t>PEST分析は、企業を取り巻く「社会の変化」を4つの観点から整理するフレームワークである。
政治・経済・社会・技術といった、自社ではコントロールできない外部環境（マクロ環境）を把握することを目的としている。
これにより、今後の事業環境の変化や機会・リスクを整理することができる。</t>
    <phoneticPr fontId="3"/>
  </si>
  <si>
    <t>3C分析は、企業を取り巻く関係者を「顧客（Customer）」「競合（Competitor）」「自社（Company）」の3つの視点で整理するフレームワークである。
市場や環境を多面的に捉えることで、「誰のどんな課題を、自社のどの強みで解決できるか」を明確にすることを目的としている。</t>
    <phoneticPr fontId="3"/>
  </si>
  <si>
    <t>SWOT分析は、企業の現状を「強み（Strength）」「弱み（Weakness）」「機会（Opportunity）」「脅威（Threat）」の4つの視点で整理するフレームワークである。
内部環境と外部環境をあわせて整理することで、自社の強みをどのように活かし、変化や課題にどう対応するかを考えることを目的としている。</t>
    <phoneticPr fontId="3"/>
  </si>
  <si>
    <t>提案書の必須要素を説明する。
・対象とする企業（対象企業があれば）
・提案内容
・提供する価値（顧客・社会へ提供する価値）
・社会への影響（NTT DATAとしてやる意義があるか）
・実現性・コスト・収益（事業として成立するか）
・市場・競合分析（チャンスがあるか）</t>
    <rPh sb="0" eb="3">
      <t>テイアンショ</t>
    </rPh>
    <rPh sb="4" eb="6">
      <t>ヒッス</t>
    </rPh>
    <rPh sb="6" eb="8">
      <t>ヨウソ</t>
    </rPh>
    <rPh sb="9" eb="11">
      <t>セツメイ</t>
    </rPh>
    <phoneticPr fontId="3"/>
  </si>
  <si>
    <t>プロトタイプの目的を説明する。
実際の利用イメージやユーザー体験を可視化するために、プロトタイプを作成する。
プロトタイプとは、完成したシステムではなく「サービス体験を検証するための試作品」であり、「このサービスがあったらどのような体験になるのか」を具体的に伝えるためのモックである。
※なお本プロトタイプは、生成AIを活用して作成することを前提とする</t>
    <rPh sb="7" eb="9">
      <t>モクテキ</t>
    </rPh>
    <rPh sb="10" eb="12">
      <t>セツメイ</t>
    </rPh>
    <phoneticPr fontId="3"/>
  </si>
  <si>
    <t>以下の内容を説明する。
IT人材に求められるのは、単なる技術知識だけではない。
実際の業務では、課題発見力・多面的な視点・社会への理解・利用者視点といった能力が強く求められる。
本研修を通じて重要なのは、「技術をどう使うか」ではなく、「誰のどんな課題を、どのような価値に変えるのか」という視点である。
その結果として、社会に新たな体験や価値を生み出すことができるIT人材を目指してほしい。</t>
    <rPh sb="0" eb="2">
      <t>イカ</t>
    </rPh>
    <rPh sb="3" eb="5">
      <t>ナイヨウ</t>
    </rPh>
    <rPh sb="6" eb="8">
      <t>セツメイ</t>
    </rPh>
    <phoneticPr fontId="3"/>
  </si>
  <si>
    <t>提案内容と提案先企業が記載されていることを説明する。</t>
    <rPh sb="0" eb="2">
      <t>テイアン</t>
    </rPh>
    <rPh sb="2" eb="4">
      <t>ナイヨウ</t>
    </rPh>
    <rPh sb="5" eb="7">
      <t>テイアン</t>
    </rPh>
    <rPh sb="7" eb="8">
      <t>サキ</t>
    </rPh>
    <rPh sb="8" eb="10">
      <t>キギョウ</t>
    </rPh>
    <rPh sb="11" eb="13">
      <t>キサイ</t>
    </rPh>
    <rPh sb="21" eb="23">
      <t>セツメイ</t>
    </rPh>
    <phoneticPr fontId="3"/>
  </si>
  <si>
    <t>サービスの事業構成（どういう要素で成り立たせるか：仕組み・構造）を説明する。</t>
    <rPh sb="5" eb="7">
      <t>ジギョウ</t>
    </rPh>
    <rPh sb="7" eb="9">
      <t>コウセイ</t>
    </rPh>
    <rPh sb="33" eb="35">
      <t>セツメイ</t>
    </rPh>
    <phoneticPr fontId="3"/>
  </si>
  <si>
    <t xml:space="preserve">・AI-02
</t>
    <phoneticPr fontId="3"/>
  </si>
  <si>
    <t xml:space="preserve">・AI-02
</t>
    <phoneticPr fontId="3"/>
  </si>
  <si>
    <t>収益モデル（そのサービスでどうやってお金を得て継続するか）について説明する。
・誰からお金を得るか（課金対象）
・何に対してお金をもらうか（課金ポイント）
・どういう仕組みで継続収益になるか</t>
    <rPh sb="33" eb="35">
      <t>セツメイ</t>
    </rPh>
    <phoneticPr fontId="3"/>
  </si>
  <si>
    <t>周囲の環境変化や市場の動きがどのように影響するかを分析していることを説明する。
・社会動向：社会全体で起きている大きな変化
・業界動向：対象となる業界内で起きている変化
・競合他社動向：同じ領域でサービスを提供している企業の動き</t>
    <rPh sb="25" eb="27">
      <t>ブンセキセツメイ</t>
    </rPh>
    <phoneticPr fontId="3"/>
  </si>
  <si>
    <t>ー</t>
    <phoneticPr fontId="3"/>
  </si>
  <si>
    <t>提案書のサンプルについて</t>
    <rPh sb="0" eb="3">
      <t>テイアンショ</t>
    </rPh>
    <phoneticPr fontId="3"/>
  </si>
  <si>
    <t>市場機会（まだ十分に満たされていないニーズが存在し、価値提供できる可能性がある領域）について説明する。
※3C分析により、顧客ニーズ・競合状況・自社の強みを整理し、市場機会を明らかにしている。</t>
    <rPh sb="0" eb="2">
      <t>シジョウ</t>
    </rPh>
    <rPh sb="2" eb="4">
      <t>キカイ</t>
    </rPh>
    <rPh sb="46" eb="48">
      <t>セツメイ</t>
    </rPh>
    <phoneticPr fontId="3"/>
  </si>
  <si>
    <t>現状課題を解決するためのサービス概要（サービスの全体像）について説明する。
※利用者目線のみ</t>
    <rPh sb="0" eb="2">
      <t>ゲンジョウ</t>
    </rPh>
    <rPh sb="2" eb="4">
      <t>カダイ</t>
    </rPh>
    <rPh sb="5" eb="7">
      <t>カイケツ</t>
    </rPh>
    <rPh sb="16" eb="18">
      <t>ガイヨウ</t>
    </rPh>
    <rPh sb="32" eb="34">
      <t>セツメイ</t>
    </rPh>
    <rPh sb="39" eb="42">
      <t>リヨウシャ</t>
    </rPh>
    <rPh sb="42" eb="44">
      <t>メセン</t>
    </rPh>
    <phoneticPr fontId="3"/>
  </si>
  <si>
    <t>サービスの利用者体験イメージ（利用者がサービスを利用する前から利用後まで、どのような体験をし、どのような価値を感じるのかを具体的に描いたもの）について説明する。
ペルソナ：サービスを使う代表的なユーザー像を具体的に作ったもの
ストーリーボード：ユーザーがサービスを使う流れを物語（ストーリー）形式で描いたもの</t>
    <rPh sb="5" eb="7">
      <t>リヨウ</t>
    </rPh>
    <rPh sb="7" eb="8">
      <t>シャ</t>
    </rPh>
    <rPh sb="8" eb="10">
      <t>タイケン</t>
    </rPh>
    <rPh sb="75" eb="77">
      <t>セツメイ</t>
    </rPh>
    <phoneticPr fontId="3"/>
  </si>
  <si>
    <t>サービスの提供価値（サービスによって利用者が得られるメリットや良い変化）について説明する。
※Before / After フレームを利用するとわかりやすい。</t>
    <rPh sb="28" eb="30">
      <t>セツメイ</t>
    </rPh>
    <rPh sb="55" eb="57">
      <t>リヨウ</t>
    </rPh>
    <phoneticPr fontId="3"/>
  </si>
  <si>
    <t xml:space="preserve">リスク、課題、対策について説明する。
リスク：うまくいかない可能性・障害要因
課題：解決すべき問題そのもの
対策：課題に対する、解決策
</t>
    <rPh sb="7" eb="9">
      <t>タイサク</t>
    </rPh>
    <rPh sb="13" eb="15">
      <t>セツメイ</t>
    </rPh>
    <rPh sb="54" eb="56">
      <t>タイサク</t>
    </rPh>
    <rPh sb="57" eb="59">
      <t>カダイ</t>
    </rPh>
    <rPh sb="60" eb="61">
      <t>タイ</t>
    </rPh>
    <rPh sb="64" eb="67">
      <t>カイケツサク</t>
    </rPh>
    <phoneticPr fontId="3"/>
  </si>
  <si>
    <t>サービスの今後の展望（サービスを今後どのように発展させていくか、将来的にどのような価値を実現したいか）について説明する。</t>
    <rPh sb="5" eb="7">
      <t>コンゴ</t>
    </rPh>
    <rPh sb="8" eb="10">
      <t>テンボウ</t>
    </rPh>
    <rPh sb="55" eb="57">
      <t>セツメイ</t>
    </rPh>
    <phoneticPr fontId="3"/>
  </si>
  <si>
    <t xml:space="preserve">成果物の概要について説明する。
■成果物の種類
　・企画提案書
　　PowerPoint形式
　・プロトタイプ
　　作成したアプリケーションのソースコード一式
　　※ルートディレクトリをそのままzip化する
　・命名規約
　　企画提案書　→　受講者ID_氏名_企画提案書.pptx
　　プロトタイプ　→　受講者ID_氏名_プロトタイプ.zip
■提出方法
　・提出先：Teamの共有フォルダに格納してください。
　　※全体連絡・共通＞02_AIネイティブ提案企画研修＞03_提出先＞01_個人演習
</t>
    <rPh sb="0" eb="3">
      <t>セイカブツ</t>
    </rPh>
    <rPh sb="18" eb="21">
      <t>セイカブツ</t>
    </rPh>
    <rPh sb="22" eb="24">
      <t>シュルイ</t>
    </rPh>
    <rPh sb="175" eb="177">
      <t>テイシュツ</t>
    </rPh>
    <rPh sb="177" eb="179">
      <t>ホウホウ</t>
    </rPh>
    <rPh sb="184" eb="185">
      <t>サキ</t>
    </rPh>
    <phoneticPr fontId="3"/>
  </si>
  <si>
    <t>背景（サービスを取り巻く状況や市場動向を説明＝Why＝なぜ？）について説明する。</t>
    <rPh sb="35" eb="37">
      <t>セツメイ</t>
    </rPh>
    <phoneticPr fontId="3"/>
  </si>
  <si>
    <t>現状課題（背景によって発生している問題を説明＝What＝具体的なこまりごと）について説明する。</t>
    <rPh sb="28" eb="31">
      <t>グタイテキ</t>
    </rPh>
    <rPh sb="42" eb="44">
      <t>セツメイ</t>
    </rPh>
    <phoneticPr fontId="3"/>
  </si>
  <si>
    <t>はじめに</t>
    <phoneticPr fontId="22"/>
  </si>
  <si>
    <r>
      <t xml:space="preserve">本資料はあくまでサンプルであることを説明する。
</t>
    </r>
    <r>
      <rPr>
        <sz val="9"/>
        <color rgb="FFFF0000"/>
        <rFont val="Meiryo UI"/>
        <family val="3"/>
        <charset val="128"/>
      </rPr>
      <t>※記載内容や構成は一例であり、サービスの特性に応じて自由に調整しても良い。</t>
    </r>
    <rPh sb="0" eb="1">
      <t>ホン</t>
    </rPh>
    <rPh sb="1" eb="3">
      <t>シリョウ</t>
    </rPh>
    <rPh sb="18" eb="20">
      <t>セツメイ</t>
    </rPh>
    <rPh sb="25" eb="27">
      <t>キサイ</t>
    </rPh>
    <rPh sb="27" eb="29">
      <t>ナイヨウ</t>
    </rPh>
    <rPh sb="30" eb="32">
      <t>コウセイ</t>
    </rPh>
    <rPh sb="33" eb="35">
      <t>イチレイ</t>
    </rPh>
    <rPh sb="44" eb="46">
      <t>トクセイ</t>
    </rPh>
    <rPh sb="47" eb="48">
      <t>オウ</t>
    </rPh>
    <rPh sb="50" eb="52">
      <t>ジユウ</t>
    </rPh>
    <rPh sb="53" eb="55">
      <t>チョウセイ</t>
    </rPh>
    <rPh sb="58" eb="59">
      <t>ヨ</t>
    </rPh>
    <phoneticPr fontId="3"/>
  </si>
  <si>
    <t xml:space="preserve">・AI-04
</t>
    <phoneticPr fontId="3"/>
  </si>
  <si>
    <t xml:space="preserve">・AI-01
</t>
    <phoneticPr fontId="3"/>
  </si>
  <si>
    <r>
      <t xml:space="preserve">まずは「日常の不便」を出発点にすることで、現実的で価値のある改善アイデアにつながることを説明する。
</t>
    </r>
    <r>
      <rPr>
        <sz val="9"/>
        <color rgb="FFFF0000"/>
        <rFont val="Meiryo UI"/>
        <family val="3"/>
        <charset val="128"/>
      </rPr>
      <t>※注意点
自分だけの不便を起点にすると視野が狭くなりやすいため、そのままではサービスとしての価値が限定されてしまう。
そこで、段階的に視点を広げることで、社会的な意味のある課題へと発展させる。
1. 自分の不便（起点）
2. 他の人も同じか？（共通性の確認）
3. どの層に共通するか？（対象の整理・分類）
4. 社会課題として成立するか？（抽象化・構造化）
このように段階的に拡張することで、単なる個人の体験ではなく、サービスや仕組みとして解決すべき社会課題として捉えることができる。</t>
    </r>
    <rPh sb="4" eb="6">
      <t>ニチジョウ</t>
    </rPh>
    <rPh sb="7" eb="9">
      <t>フベン</t>
    </rPh>
    <rPh sb="11" eb="14">
      <t>シュッパツテン</t>
    </rPh>
    <rPh sb="21" eb="24">
      <t>ゲンジツテキ</t>
    </rPh>
    <rPh sb="25" eb="27">
      <t>カチ</t>
    </rPh>
    <rPh sb="30" eb="32">
      <t>カイゼン</t>
    </rPh>
    <rPh sb="44" eb="46">
      <t>セツメイ</t>
    </rPh>
    <rPh sb="52" eb="55">
      <t>チュウイテン</t>
    </rPh>
    <phoneticPr fontId="3"/>
  </si>
  <si>
    <t>オリエンテーション（2日目以降）</t>
    <rPh sb="11" eb="12">
      <t>ニチ</t>
    </rPh>
    <rPh sb="12" eb="13">
      <t>メ</t>
    </rPh>
    <rPh sb="13" eb="15">
      <t>イコウ</t>
    </rPh>
    <phoneticPr fontId="3"/>
  </si>
  <si>
    <t>オリエンテーション（初日）</t>
    <rPh sb="10" eb="12">
      <t>ショニチ</t>
    </rPh>
    <phoneticPr fontId="3"/>
  </si>
  <si>
    <t>・本日のスケジュールの説明</t>
    <rPh sb="1" eb="3">
      <t>ホンジツ</t>
    </rPh>
    <phoneticPr fontId="3"/>
  </si>
  <si>
    <t xml:space="preserve">・共通1
</t>
    <rPh sb="1" eb="3">
      <t>キョウツウ</t>
    </rPh>
    <phoneticPr fontId="3"/>
  </si>
  <si>
    <t>個人演習1</t>
    <rPh sb="0" eb="2">
      <t>コジン</t>
    </rPh>
    <phoneticPr fontId="3"/>
  </si>
  <si>
    <t>個人演習2</t>
    <rPh sb="0" eb="2">
      <t>コジン</t>
    </rPh>
    <phoneticPr fontId="3"/>
  </si>
  <si>
    <t>アンケート</t>
    <phoneticPr fontId="3"/>
  </si>
  <si>
    <t>・アンケートの説明</t>
    <phoneticPr fontId="3"/>
  </si>
  <si>
    <t>個人提案の実施</t>
    <rPh sb="0" eb="2">
      <t>コジン</t>
    </rPh>
    <rPh sb="2" eb="4">
      <t>テイアン</t>
    </rPh>
    <rPh sb="5" eb="7">
      <t>ジッシ</t>
    </rPh>
    <phoneticPr fontId="3"/>
  </si>
  <si>
    <t>演習内容の説明</t>
    <rPh sb="0" eb="2">
      <t>エンシュウ</t>
    </rPh>
    <rPh sb="2" eb="4">
      <t>ナイヨウ</t>
    </rPh>
    <rPh sb="5" eb="7">
      <t>セツメイ</t>
    </rPh>
    <phoneticPr fontId="3"/>
  </si>
  <si>
    <t xml:space="preserve">・AI-04
</t>
    <phoneticPr fontId="3"/>
  </si>
  <si>
    <t>提案内容のブラッシュアップ</t>
    <rPh sb="0" eb="4">
      <t>テイアンナイヨウ</t>
    </rPh>
    <phoneticPr fontId="3"/>
  </si>
  <si>
    <t xml:space="preserve">個人演習の概要について説明する。
■手順
1. 発表順の決定
2. 提案の実施
3. 提案内容のブラッシュアップ
</t>
    <rPh sb="0" eb="2">
      <t>コジン</t>
    </rPh>
    <rPh sb="25" eb="27">
      <t>ハッピョウ</t>
    </rPh>
    <rPh sb="27" eb="28">
      <t>ジュン</t>
    </rPh>
    <rPh sb="29" eb="31">
      <t>ケッテイ</t>
    </rPh>
    <rPh sb="35" eb="37">
      <t>テイアン</t>
    </rPh>
    <rPh sb="38" eb="40">
      <t>ジッシ</t>
    </rPh>
    <rPh sb="44" eb="46">
      <t>テイアン</t>
    </rPh>
    <rPh sb="46" eb="48">
      <t>ナイヨウ</t>
    </rPh>
    <phoneticPr fontId="3"/>
  </si>
  <si>
    <t>フィードバックのを基に提案内容をブラッシュアップすることを伝える。</t>
    <rPh sb="9" eb="10">
      <t>モト</t>
    </rPh>
    <rPh sb="11" eb="13">
      <t>テイアン</t>
    </rPh>
    <rPh sb="13" eb="15">
      <t>ナイヨウ</t>
    </rPh>
    <rPh sb="29" eb="30">
      <t>ツタ</t>
    </rPh>
    <phoneticPr fontId="3"/>
  </si>
  <si>
    <t>作成した成果物をチーム内のメンバーに提案し、フィードバックをもらうことを説明する。
■手順
1. 企画提案書およびプロトタイプを用いてサービスを提案する。（10分）
2. 質疑応答（5分）
3. 提案内容（提案書、プロトタイプ、提案の方法）に関するフィードバックを行う。（5分）</t>
    <rPh sb="87" eb="91">
      <t>シツギオウトウ</t>
    </rPh>
    <rPh sb="104" eb="107">
      <t>テイアンショ</t>
    </rPh>
    <rPh sb="115" eb="117">
      <t>テイアン</t>
    </rPh>
    <rPh sb="118" eb="120">
      <t>ホウホウ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</si>
</sst>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b/>
      <sz val="11"/>
      <name val="ＭＳ Ｐゴシック"/>
      <family val="3"/>
      <charset val="128"/>
    </font>
    <font>
      <sz val="6"/>
      <name val="ＭＳ Ｐゴシック"/>
      <family val="2"/>
      <charset val="128"/>
      <scheme val="minor"/>
    </font>
  </fonts>
  <fills count="10">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0" tint="-0.14999847407452621"/>
        <bgColor indexed="64"/>
      </patternFill>
    </fill>
    <fill>
      <patternFill patternType="solid">
        <fgColor rgb="FFC5D9F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14">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2" fillId="0" borderId="0" xfId="0" applyFont="1" applyAlignment="1">
      <alignment horizontal="center" vertical="center"/>
    </xf>
    <xf numFmtId="0" fontId="12"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left" vertical="top" wrapText="1"/>
    </xf>
    <xf numFmtId="0" fontId="5" fillId="0" borderId="11" xfId="0" applyFont="1" applyBorder="1">
      <alignment vertical="center"/>
    </xf>
    <xf numFmtId="0" fontId="14"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1" fillId="3" borderId="1" xfId="0" applyFont="1" applyFill="1" applyBorder="1" applyAlignment="1">
      <alignment horizontal="center" vertical="center" wrapText="1"/>
    </xf>
    <xf numFmtId="0" fontId="19" fillId="0" borderId="12" xfId="3" applyFont="1" applyFill="1" applyBorder="1" applyAlignment="1">
      <alignment vertical="center" wrapText="1"/>
    </xf>
    <xf numFmtId="0" fontId="19" fillId="0" borderId="0" xfId="3" applyFont="1" applyFill="1" applyBorder="1" applyAlignment="1">
      <alignment vertical="center" wrapText="1"/>
    </xf>
    <xf numFmtId="0" fontId="20"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6"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5" fillId="0" borderId="8" xfId="0" applyNumberFormat="1" applyFont="1" applyBorder="1" applyAlignment="1">
      <alignment vertical="top"/>
    </xf>
    <xf numFmtId="20" fontId="15" fillId="0" borderId="9" xfId="0" applyNumberFormat="1" applyFont="1" applyBorder="1" applyAlignment="1">
      <alignment vertical="top"/>
    </xf>
    <xf numFmtId="20" fontId="15" fillId="0" borderId="10" xfId="0" applyNumberFormat="1" applyFont="1" applyBorder="1" applyAlignment="1">
      <alignment vertical="top"/>
    </xf>
    <xf numFmtId="0" fontId="17" fillId="7"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5" borderId="1" xfId="0" applyFont="1" applyFill="1" applyBorder="1" applyAlignment="1">
      <alignment horizontal="center" vertical="top" wrapText="1"/>
    </xf>
    <xf numFmtId="0" fontId="5" fillId="4" borderId="1" xfId="0" applyFont="1" applyFill="1" applyBorder="1" applyAlignment="1">
      <alignment horizontal="left" vertical="top" wrapText="1"/>
    </xf>
    <xf numFmtId="20" fontId="15" fillId="0" borderId="12" xfId="0" applyNumberFormat="1" applyFont="1" applyBorder="1" applyAlignment="1">
      <alignment vertical="top"/>
    </xf>
    <xf numFmtId="20" fontId="5" fillId="0" borderId="12" xfId="0" applyNumberFormat="1" applyFont="1" applyBorder="1" applyAlignment="1">
      <alignment horizontal="right" vertical="top"/>
    </xf>
    <xf numFmtId="20" fontId="15" fillId="0" borderId="12" xfId="0" applyNumberFormat="1" applyFont="1" applyBorder="1" applyAlignment="1">
      <alignment horizontal="right" vertical="top"/>
    </xf>
    <xf numFmtId="20" fontId="15" fillId="0" borderId="14" xfId="0" applyNumberFormat="1" applyFont="1" applyBorder="1" applyAlignment="1">
      <alignment vertical="top"/>
    </xf>
    <xf numFmtId="20" fontId="5" fillId="5"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20" fontId="5" fillId="0" borderId="8" xfId="0" applyNumberFormat="1" applyFont="1" applyBorder="1" applyAlignment="1">
      <alignment vertical="top"/>
    </xf>
    <xf numFmtId="0" fontId="5" fillId="0" borderId="1" xfId="0" applyFont="1" applyBorder="1" applyAlignment="1">
      <alignment horizontal="left" vertical="center"/>
    </xf>
    <xf numFmtId="20" fontId="5" fillId="0" borderId="10" xfId="0" applyNumberFormat="1" applyFont="1" applyBorder="1" applyAlignment="1">
      <alignment vertical="top"/>
    </xf>
    <xf numFmtId="0" fontId="5" fillId="4" borderId="8" xfId="0" applyFont="1" applyFill="1" applyBorder="1" applyAlignment="1">
      <alignment vertical="top"/>
    </xf>
    <xf numFmtId="0" fontId="5" fillId="4" borderId="9" xfId="0" applyFont="1" applyFill="1" applyBorder="1" applyAlignment="1">
      <alignment vertical="top"/>
    </xf>
    <xf numFmtId="0" fontId="5" fillId="5"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21" fillId="0" borderId="0" xfId="0" applyFont="1">
      <alignment vertical="center"/>
    </xf>
    <xf numFmtId="0" fontId="0" fillId="8" borderId="0" xfId="0" applyFill="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7" fillId="9"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20" fontId="5" fillId="0" borderId="5" xfId="0" applyNumberFormat="1" applyFont="1" applyBorder="1" applyAlignment="1">
      <alignment vertical="top"/>
    </xf>
    <xf numFmtId="0" fontId="5" fillId="6" borderId="1" xfId="0" applyFont="1" applyFill="1" applyBorder="1" applyAlignment="1">
      <alignment vertical="center" wrapText="1"/>
    </xf>
    <xf numFmtId="0" fontId="5" fillId="4" borderId="8" xfId="0" applyFont="1" applyFill="1" applyBorder="1" applyAlignment="1">
      <alignment vertical="center" textRotation="255" wrapText="1"/>
    </xf>
    <xf numFmtId="20" fontId="5" fillId="0" borderId="9" xfId="0" applyNumberFormat="1" applyFont="1" applyBorder="1" applyAlignment="1">
      <alignment vertical="top"/>
    </xf>
    <xf numFmtId="20" fontId="5" fillId="0" borderId="13" xfId="0" applyNumberFormat="1" applyFont="1" applyBorder="1" applyAlignment="1">
      <alignment vertical="top"/>
    </xf>
    <xf numFmtId="20" fontId="5" fillId="0" borderId="14" xfId="0" applyNumberFormat="1" applyFont="1" applyBorder="1" applyAlignment="1">
      <alignment vertical="top"/>
    </xf>
    <xf numFmtId="20" fontId="5" fillId="0" borderId="9" xfId="0" applyNumberFormat="1" applyFont="1" applyBorder="1">
      <alignment vertical="center"/>
    </xf>
    <xf numFmtId="0" fontId="5" fillId="9" borderId="9" xfId="0" applyFont="1" applyFill="1" applyBorder="1" applyAlignment="1">
      <alignment vertical="top"/>
    </xf>
    <xf numFmtId="0" fontId="5" fillId="9" borderId="8" xfId="0" applyFont="1" applyFill="1" applyBorder="1" applyAlignment="1">
      <alignment vertical="top"/>
    </xf>
    <xf numFmtId="0" fontId="5" fillId="9" borderId="10" xfId="0" applyFont="1" applyFill="1" applyBorder="1" applyAlignment="1">
      <alignment vertical="top"/>
    </xf>
    <xf numFmtId="0" fontId="5" fillId="5" borderId="1" xfId="3" applyFont="1" applyFill="1" applyBorder="1" applyAlignment="1">
      <alignment horizontal="left" vertical="top" wrapText="1"/>
    </xf>
    <xf numFmtId="0" fontId="12" fillId="3" borderId="0" xfId="0" applyFont="1" applyFill="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3" fillId="3" borderId="0" xfId="0" applyFont="1" applyFill="1" applyAlignment="1">
      <alignment horizontal="center" vertical="center"/>
    </xf>
    <xf numFmtId="0" fontId="5" fillId="5" borderId="1" xfId="0" applyFont="1" applyFill="1" applyBorder="1" applyAlignment="1">
      <alignment horizontal="left" vertical="top"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9"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5" fillId="4" borderId="8" xfId="0" applyFont="1" applyFill="1" applyBorder="1" applyAlignment="1">
      <alignment horizontal="center" vertical="center" textRotation="255" wrapText="1"/>
    </xf>
    <xf numFmtId="0" fontId="5" fillId="4" borderId="10"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9" borderId="8" xfId="0" applyFont="1" applyFill="1" applyBorder="1" applyAlignment="1">
      <alignment horizontal="center" vertical="center" textRotation="255" wrapText="1"/>
    </xf>
    <xf numFmtId="0" fontId="5" fillId="9" borderId="10" xfId="0" applyFont="1" applyFill="1" applyBorder="1" applyAlignment="1">
      <alignment horizontal="center" vertical="center" textRotation="255" wrapText="1"/>
    </xf>
    <xf numFmtId="0" fontId="5" fillId="9" borderId="9" xfId="0" applyFont="1" applyFill="1" applyBorder="1" applyAlignment="1">
      <alignment horizontal="center" vertical="center" textRotation="255" wrapText="1"/>
    </xf>
    <xf numFmtId="0" fontId="11" fillId="3" borderId="3"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9" fillId="0" borderId="1" xfId="3" applyFont="1" applyFill="1" applyBorder="1" applyAlignment="1">
      <alignment vertical="center" wrapText="1"/>
    </xf>
    <xf numFmtId="0" fontId="5" fillId="5" borderId="9" xfId="0" applyFont="1" applyFill="1" applyBorder="1" applyAlignment="1">
      <alignment vertical="center" wrapText="1"/>
    </xf>
    <xf numFmtId="0" fontId="5" fillId="5" borderId="8" xfId="0" applyFont="1" applyFill="1" applyBorder="1" applyAlignment="1">
      <alignment vertical="center"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showGridLines="0" view="pageBreakPreview" topLeftCell="A4" zoomScale="90" zoomScaleNormal="115" zoomScaleSheetLayoutView="90" workbookViewId="0">
      <selection activeCell="E18" sqref="E18"/>
    </sheetView>
  </sheetViews>
  <sheetFormatPr defaultColWidth="9" defaultRowHeight="15"/>
  <cols>
    <col min="1" max="1" width="7" style="1" bestFit="1" customWidth="1"/>
    <col min="2" max="2" width="7.33203125" style="15" bestFit="1" customWidth="1"/>
    <col min="3" max="3" width="45" style="1" bestFit="1" customWidth="1"/>
    <col min="4" max="4" width="7.33203125" style="15" bestFit="1" customWidth="1"/>
    <col min="5" max="5" width="45" style="1" bestFit="1" customWidth="1"/>
    <col min="6" max="6" width="7.33203125" style="15" bestFit="1" customWidth="1"/>
    <col min="7" max="7" width="45" style="1" bestFit="1" customWidth="1"/>
    <col min="8" max="8" width="7.33203125" style="1" customWidth="1"/>
    <col min="9" max="16384" width="9" style="6"/>
  </cols>
  <sheetData>
    <row r="1" spans="1:7">
      <c r="D1" s="1"/>
      <c r="F1" s="1"/>
    </row>
    <row r="2" spans="1:7" ht="27">
      <c r="A2" s="13"/>
      <c r="B2" s="83" t="str">
        <f>"コースプラン/インストラクションガイド 「"&amp;master!$B$1&amp;"_IG」"</f>
        <v>コースプラン/インストラクションガイド 「AI Native-提案演習_IG」</v>
      </c>
      <c r="C2" s="83"/>
      <c r="D2" s="83"/>
      <c r="E2" s="83"/>
      <c r="F2" s="83"/>
      <c r="G2" s="83"/>
    </row>
    <row r="3" spans="1:7" ht="27.6" thickBot="1">
      <c r="A3" s="13"/>
      <c r="B3" s="14"/>
      <c r="C3" s="13"/>
      <c r="D3" s="13"/>
      <c r="E3" s="13"/>
      <c r="F3" s="13"/>
      <c r="G3" s="13"/>
    </row>
    <row r="4" spans="1:7" ht="27.6" thickBot="1">
      <c r="A4" s="13"/>
      <c r="B4" s="84" t="s">
        <v>11</v>
      </c>
      <c r="C4" s="85"/>
      <c r="D4" s="13"/>
      <c r="E4" s="13"/>
      <c r="F4" s="13"/>
      <c r="G4" s="13"/>
    </row>
    <row r="5" spans="1:7" ht="27.6" thickBot="1">
      <c r="A5" s="13"/>
      <c r="B5" s="86"/>
      <c r="C5" s="87"/>
      <c r="D5" s="13"/>
      <c r="E5" s="13"/>
      <c r="F5" s="13"/>
      <c r="G5" s="13"/>
    </row>
    <row r="6" spans="1:7">
      <c r="D6" s="1"/>
      <c r="F6" s="1"/>
    </row>
    <row r="7" spans="1:7" ht="16.2">
      <c r="B7" s="88" t="s">
        <v>2</v>
      </c>
      <c r="C7" s="88"/>
      <c r="D7" s="1"/>
      <c r="F7" s="1"/>
    </row>
    <row r="8" spans="1:7">
      <c r="D8" s="1"/>
      <c r="E8" s="15"/>
      <c r="F8" s="1"/>
      <c r="G8" s="15"/>
    </row>
    <row r="9" spans="1:7">
      <c r="B9" s="21"/>
      <c r="C9" s="21" t="s">
        <v>0</v>
      </c>
      <c r="D9" s="21"/>
      <c r="E9" s="21" t="s">
        <v>77</v>
      </c>
      <c r="F9" s="21"/>
      <c r="G9" s="21" t="s">
        <v>78</v>
      </c>
    </row>
    <row r="10" spans="1:7" ht="14.25" customHeight="1">
      <c r="A10" s="34">
        <v>0.39583333333333331</v>
      </c>
      <c r="B10" s="16">
        <v>0.39583333333333331</v>
      </c>
      <c r="C10" s="59" t="s">
        <v>3</v>
      </c>
      <c r="D10" s="16">
        <v>0.39583333333333331</v>
      </c>
      <c r="E10" s="59" t="s">
        <v>3</v>
      </c>
      <c r="F10" s="16">
        <v>0.39583333333333331</v>
      </c>
      <c r="G10" s="59" t="s">
        <v>3</v>
      </c>
    </row>
    <row r="11" spans="1:7">
      <c r="A11" s="36"/>
      <c r="B11" s="54">
        <v>0.40625</v>
      </c>
      <c r="C11" s="57" t="str">
        <f>master!B4</f>
        <v>導入</v>
      </c>
      <c r="D11" s="54">
        <v>0.40625</v>
      </c>
      <c r="E11" s="80"/>
      <c r="F11" s="54">
        <v>0.40625</v>
      </c>
      <c r="G11" s="80" t="str">
        <f>master!B40</f>
        <v>個人演習2</v>
      </c>
    </row>
    <row r="12" spans="1:7">
      <c r="A12" s="34">
        <v>0.41666666666666669</v>
      </c>
      <c r="B12" s="76">
        <v>0.41666666666666669</v>
      </c>
      <c r="C12" s="57" t="str">
        <f>master!B5</f>
        <v>企画提案のステップ</v>
      </c>
      <c r="D12" s="56"/>
      <c r="E12" s="81"/>
      <c r="F12" s="56"/>
      <c r="G12" s="81"/>
    </row>
    <row r="13" spans="1:7">
      <c r="A13" s="35"/>
      <c r="B13" s="77"/>
      <c r="C13" s="58"/>
      <c r="D13" s="56"/>
      <c r="E13" s="81"/>
      <c r="F13" s="56"/>
      <c r="G13" s="81"/>
    </row>
    <row r="14" spans="1:7">
      <c r="A14" s="35"/>
      <c r="B14" s="54">
        <v>0.4375</v>
      </c>
      <c r="C14" s="57" t="str">
        <f>master!B18</f>
        <v>提案書のサンプルについて</v>
      </c>
      <c r="D14" s="56"/>
      <c r="E14" s="81"/>
      <c r="F14" s="56"/>
      <c r="G14" s="81"/>
    </row>
    <row r="15" spans="1:7">
      <c r="A15" s="36"/>
      <c r="B15" s="78" t="s">
        <v>29</v>
      </c>
      <c r="C15" s="58"/>
      <c r="D15" s="56"/>
      <c r="E15" s="81"/>
      <c r="F15" s="56"/>
      <c r="G15" s="81"/>
    </row>
    <row r="16" spans="1:7">
      <c r="A16" s="34">
        <v>0.45833333333333331</v>
      </c>
      <c r="B16" s="54">
        <v>0.45833333333333331</v>
      </c>
      <c r="C16" s="80" t="str">
        <f>master!B32</f>
        <v>個人演習1</v>
      </c>
      <c r="D16" s="56"/>
      <c r="E16" s="81"/>
      <c r="F16" s="56"/>
      <c r="G16" s="81"/>
    </row>
    <row r="17" spans="1:8">
      <c r="A17" s="35"/>
      <c r="B17" s="56"/>
      <c r="C17" s="81"/>
      <c r="D17" s="56"/>
      <c r="E17" s="81"/>
      <c r="F17" s="56"/>
      <c r="G17" s="81"/>
    </row>
    <row r="18" spans="1:8">
      <c r="A18" s="35"/>
      <c r="B18" s="56"/>
      <c r="C18" s="81"/>
      <c r="D18" s="56"/>
      <c r="E18" s="81"/>
      <c r="F18" s="56"/>
      <c r="G18" s="81"/>
    </row>
    <row r="19" spans="1:8">
      <c r="A19" s="36"/>
      <c r="B19" s="56"/>
      <c r="C19" s="81"/>
      <c r="D19" s="56"/>
      <c r="E19" s="81"/>
      <c r="F19" s="56"/>
      <c r="G19" s="81"/>
    </row>
    <row r="20" spans="1:8">
      <c r="A20" s="53">
        <v>0.5</v>
      </c>
      <c r="B20" s="56"/>
      <c r="C20" s="81"/>
      <c r="D20" s="56"/>
      <c r="E20" s="81"/>
      <c r="F20" s="56"/>
      <c r="G20" s="81"/>
    </row>
    <row r="21" spans="1:8">
      <c r="A21" s="49"/>
      <c r="B21" s="51"/>
      <c r="C21" s="79"/>
      <c r="D21" s="75"/>
      <c r="E21" s="79"/>
      <c r="F21" s="75"/>
      <c r="G21" s="79"/>
    </row>
    <row r="22" spans="1:8">
      <c r="A22" s="35"/>
      <c r="B22" s="35">
        <v>0.52083333333333337</v>
      </c>
      <c r="C22" s="60" t="s">
        <v>1</v>
      </c>
      <c r="D22" s="35">
        <v>0.52083333333333337</v>
      </c>
      <c r="E22" s="60" t="s">
        <v>1</v>
      </c>
      <c r="F22" s="35">
        <v>0.52083333333333337</v>
      </c>
      <c r="G22" s="60" t="s">
        <v>1</v>
      </c>
    </row>
    <row r="23" spans="1:8">
      <c r="A23" s="36"/>
      <c r="B23" s="35" t="s">
        <v>29</v>
      </c>
      <c r="C23" s="61"/>
      <c r="D23" s="35" t="s">
        <v>29</v>
      </c>
      <c r="E23" s="61"/>
      <c r="F23" s="35" t="s">
        <v>29</v>
      </c>
      <c r="G23" s="61"/>
    </row>
    <row r="24" spans="1:8">
      <c r="A24" s="34">
        <v>0.54166666666666663</v>
      </c>
      <c r="B24" s="35" t="s">
        <v>29</v>
      </c>
      <c r="C24" s="61"/>
      <c r="D24" s="35" t="s">
        <v>29</v>
      </c>
      <c r="E24" s="61"/>
      <c r="F24" s="35" t="s">
        <v>29</v>
      </c>
      <c r="G24" s="61"/>
    </row>
    <row r="25" spans="1:8">
      <c r="A25" s="35"/>
      <c r="B25" s="36" t="s">
        <v>29</v>
      </c>
      <c r="C25" s="62"/>
      <c r="D25" s="36" t="s">
        <v>29</v>
      </c>
      <c r="E25" s="62"/>
      <c r="F25" s="36" t="s">
        <v>29</v>
      </c>
      <c r="G25" s="62"/>
    </row>
    <row r="26" spans="1:8">
      <c r="A26" s="35"/>
      <c r="B26" s="37">
        <v>0.5625</v>
      </c>
      <c r="C26" s="80"/>
      <c r="D26" s="37">
        <v>0.5625</v>
      </c>
      <c r="E26" s="80"/>
      <c r="F26" s="37">
        <v>0.5625</v>
      </c>
      <c r="G26" s="80"/>
    </row>
    <row r="27" spans="1:8">
      <c r="A27" s="36"/>
      <c r="B27" s="39"/>
      <c r="C27" s="81"/>
      <c r="D27" s="39"/>
      <c r="E27" s="81"/>
      <c r="F27" s="39"/>
      <c r="G27" s="81"/>
    </row>
    <row r="28" spans="1:8">
      <c r="A28" s="34">
        <v>0.58333333333333337</v>
      </c>
      <c r="B28" s="39"/>
      <c r="C28" s="81"/>
      <c r="D28" s="39"/>
      <c r="E28" s="81"/>
      <c r="F28" s="39"/>
      <c r="G28" s="81"/>
    </row>
    <row r="29" spans="1:8">
      <c r="A29" s="35"/>
      <c r="B29" s="39"/>
      <c r="C29" s="81"/>
      <c r="D29" s="39"/>
      <c r="E29" s="81"/>
      <c r="F29" s="39"/>
      <c r="G29" s="81"/>
      <c r="H29" s="48"/>
    </row>
    <row r="30" spans="1:8">
      <c r="A30" s="35"/>
      <c r="B30" s="39"/>
      <c r="C30" s="81"/>
      <c r="D30" s="39"/>
      <c r="E30" s="81"/>
      <c r="F30" s="39"/>
      <c r="G30" s="81"/>
      <c r="H30" s="48"/>
    </row>
    <row r="31" spans="1:8">
      <c r="A31" s="36"/>
      <c r="B31" s="39"/>
      <c r="C31" s="81"/>
      <c r="D31" s="39"/>
      <c r="E31" s="81"/>
      <c r="F31" s="39"/>
      <c r="G31" s="81"/>
      <c r="H31" s="48"/>
    </row>
    <row r="32" spans="1:8">
      <c r="A32" s="53">
        <v>0.625</v>
      </c>
      <c r="B32" s="39"/>
      <c r="C32" s="81"/>
      <c r="D32" s="39"/>
      <c r="E32" s="81"/>
      <c r="F32" s="39"/>
      <c r="G32" s="81"/>
      <c r="H32" s="48"/>
    </row>
    <row r="33" spans="1:8">
      <c r="A33" s="49"/>
      <c r="B33" s="39"/>
      <c r="C33" s="81"/>
      <c r="D33" s="39"/>
      <c r="E33" s="81"/>
      <c r="F33" s="39"/>
      <c r="G33" s="81"/>
      <c r="H33" s="48"/>
    </row>
    <row r="34" spans="1:8">
      <c r="A34" s="49"/>
      <c r="B34" s="39"/>
      <c r="C34" s="81"/>
      <c r="D34" s="39"/>
      <c r="E34" s="81"/>
      <c r="F34" s="39"/>
      <c r="G34" s="81"/>
      <c r="H34" s="48"/>
    </row>
    <row r="35" spans="1:8">
      <c r="A35" s="36"/>
      <c r="B35" s="39"/>
      <c r="C35" s="81"/>
      <c r="D35" s="39"/>
      <c r="E35" s="81"/>
      <c r="F35" s="39"/>
      <c r="G35" s="81"/>
      <c r="H35" s="48"/>
    </row>
    <row r="36" spans="1:8">
      <c r="A36" s="34">
        <v>0.66666666666666663</v>
      </c>
      <c r="B36" s="39"/>
      <c r="C36" s="81"/>
      <c r="D36" s="39"/>
      <c r="E36" s="81"/>
      <c r="F36" s="39"/>
      <c r="G36" s="81"/>
      <c r="H36" s="48"/>
    </row>
    <row r="37" spans="1:8">
      <c r="A37" s="35"/>
      <c r="B37" s="39"/>
      <c r="C37" s="81"/>
      <c r="D37" s="39"/>
      <c r="E37" s="81"/>
      <c r="F37" s="39"/>
      <c r="G37" s="81"/>
      <c r="H37" s="48"/>
    </row>
    <row r="38" spans="1:8">
      <c r="A38" s="35"/>
      <c r="B38" s="39"/>
      <c r="C38" s="81"/>
      <c r="D38" s="39"/>
      <c r="E38" s="81"/>
      <c r="F38" s="39"/>
      <c r="G38" s="81"/>
      <c r="H38" s="48"/>
    </row>
    <row r="39" spans="1:8">
      <c r="A39" s="35"/>
      <c r="B39" s="39"/>
      <c r="C39" s="81"/>
      <c r="D39" s="39"/>
      <c r="E39" s="81"/>
      <c r="F39" s="39"/>
      <c r="G39" s="81"/>
      <c r="H39" s="48"/>
    </row>
    <row r="40" spans="1:8">
      <c r="A40" s="37">
        <v>0.70833333333333337</v>
      </c>
      <c r="B40" s="39"/>
      <c r="C40" s="81"/>
      <c r="D40" s="39"/>
      <c r="E40" s="81"/>
      <c r="F40" s="38"/>
      <c r="G40" s="79"/>
      <c r="H40" s="48"/>
    </row>
    <row r="41" spans="1:8">
      <c r="A41" s="35"/>
      <c r="B41" s="39"/>
      <c r="C41" s="81"/>
      <c r="D41" s="39"/>
      <c r="E41" s="81"/>
      <c r="F41" s="39">
        <v>0.71875</v>
      </c>
      <c r="G41" s="113" t="s">
        <v>141</v>
      </c>
      <c r="H41" s="50"/>
    </row>
    <row r="42" spans="1:8">
      <c r="A42" s="39"/>
      <c r="B42" s="39"/>
      <c r="C42" s="79"/>
      <c r="D42" s="39"/>
      <c r="E42" s="79"/>
      <c r="F42" s="39"/>
      <c r="G42" s="112"/>
      <c r="H42" s="48"/>
    </row>
    <row r="43" spans="1:8" ht="14.25" customHeight="1">
      <c r="A43" s="38"/>
      <c r="B43" s="72">
        <v>0.73958333333333337</v>
      </c>
      <c r="C43" s="73" t="s">
        <v>79</v>
      </c>
      <c r="D43" s="72">
        <v>0.73958333333333337</v>
      </c>
      <c r="E43" s="73" t="s">
        <v>79</v>
      </c>
      <c r="F43" s="72">
        <v>0.73958333333333337</v>
      </c>
      <c r="G43" s="73" t="s">
        <v>79</v>
      </c>
      <c r="H43" s="49"/>
    </row>
    <row r="44" spans="1:8" ht="15.6" thickBot="1">
      <c r="A44" s="6"/>
      <c r="H44" s="20"/>
    </row>
  </sheetData>
  <mergeCells count="4">
    <mergeCell ref="B2:G2"/>
    <mergeCell ref="B4:C4"/>
    <mergeCell ref="B5:C5"/>
    <mergeCell ref="B7:C7"/>
  </mergeCells>
  <phoneticPr fontId="3"/>
  <pageMargins left="0.7" right="0.7" top="0.75" bottom="0.75" header="0.3" footer="0.3"/>
  <pageSetup paperSize="9" scale="32"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4"/>
  <sheetViews>
    <sheetView showGridLines="0" view="pageBreakPreview" zoomScale="90" zoomScaleNormal="100" zoomScaleSheetLayoutView="90" workbookViewId="0">
      <selection activeCell="D14" sqref="D14:F14"/>
    </sheetView>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24" customWidth="1"/>
    <col min="9" max="10" width="6.6640625" style="10" customWidth="1"/>
    <col min="11" max="11" width="38.44140625" style="1" customWidth="1"/>
    <col min="12" max="12" width="4.6640625" style="1" customWidth="1"/>
    <col min="13" max="16384" width="9" style="6"/>
  </cols>
  <sheetData>
    <row r="2" spans="1:12" s="28" customFormat="1" ht="36.75" customHeight="1">
      <c r="B2" s="2" t="s">
        <v>27</v>
      </c>
      <c r="C2" s="2"/>
      <c r="D2" s="29"/>
      <c r="E2" s="29"/>
      <c r="F2" s="29"/>
      <c r="G2" s="2"/>
      <c r="H2" s="22"/>
      <c r="I2" s="29"/>
      <c r="J2" s="29"/>
      <c r="K2" s="2"/>
    </row>
    <row r="3" spans="1:12">
      <c r="C3" s="7"/>
      <c r="D3" s="8"/>
      <c r="E3" s="8"/>
      <c r="F3" s="8"/>
      <c r="G3" s="7"/>
      <c r="H3" s="23"/>
      <c r="I3" s="18"/>
      <c r="J3" s="18"/>
      <c r="K3" s="9"/>
    </row>
    <row r="4" spans="1:12" ht="16.2">
      <c r="B4" s="92" t="s">
        <v>4</v>
      </c>
      <c r="C4" s="92"/>
      <c r="D4" s="8"/>
      <c r="E4" s="8"/>
      <c r="F4" s="8"/>
      <c r="G4" s="7"/>
      <c r="H4" s="23"/>
      <c r="I4" s="18"/>
      <c r="J4" s="18"/>
      <c r="K4" s="9"/>
    </row>
    <row r="5" spans="1:12" ht="36" customHeight="1">
      <c r="B5" s="93"/>
      <c r="C5" s="93"/>
      <c r="D5" s="93"/>
      <c r="E5" s="93"/>
      <c r="F5" s="93"/>
      <c r="G5" s="93"/>
      <c r="H5" s="93"/>
      <c r="I5" s="93"/>
      <c r="J5" s="93"/>
      <c r="K5" s="93"/>
    </row>
    <row r="6" spans="1:12">
      <c r="B6" s="10"/>
      <c r="C6" s="10"/>
      <c r="G6" s="10"/>
      <c r="K6" s="10"/>
    </row>
    <row r="7" spans="1:12">
      <c r="B7" s="30" t="s">
        <v>14</v>
      </c>
      <c r="C7" s="30" t="s">
        <v>15</v>
      </c>
      <c r="D7" s="94" t="s">
        <v>20</v>
      </c>
      <c r="E7" s="94"/>
      <c r="F7" s="30" t="s">
        <v>10</v>
      </c>
      <c r="G7" s="30" t="s">
        <v>16</v>
      </c>
      <c r="K7" s="6"/>
      <c r="L7" s="6"/>
    </row>
    <row r="8" spans="1:12">
      <c r="B8" s="31" t="s">
        <v>17</v>
      </c>
      <c r="C8" s="32" t="s">
        <v>33</v>
      </c>
      <c r="D8" s="42" t="s">
        <v>19</v>
      </c>
      <c r="E8" s="41"/>
      <c r="F8" s="33" t="s">
        <v>22</v>
      </c>
      <c r="G8" s="33" t="s">
        <v>18</v>
      </c>
      <c r="K8" s="6"/>
      <c r="L8" s="6"/>
    </row>
    <row r="10" spans="1:12">
      <c r="A10" s="10"/>
      <c r="B10" s="91"/>
      <c r="C10" s="91" t="s">
        <v>7</v>
      </c>
      <c r="D10" s="91" t="s">
        <v>8</v>
      </c>
      <c r="E10" s="91"/>
      <c r="F10" s="91"/>
      <c r="G10" s="91" t="s">
        <v>9</v>
      </c>
      <c r="H10" s="95" t="s">
        <v>23</v>
      </c>
      <c r="I10" s="90" t="s">
        <v>31</v>
      </c>
      <c r="J10" s="90"/>
      <c r="K10" s="90" t="s">
        <v>30</v>
      </c>
      <c r="L10" s="10"/>
    </row>
    <row r="11" spans="1:12">
      <c r="A11" s="10"/>
      <c r="B11" s="91"/>
      <c r="C11" s="91"/>
      <c r="D11" s="91"/>
      <c r="E11" s="91"/>
      <c r="F11" s="91"/>
      <c r="G11" s="91"/>
      <c r="H11" s="96"/>
      <c r="I11" s="25" t="s">
        <v>25</v>
      </c>
      <c r="J11" s="25" t="s">
        <v>6</v>
      </c>
      <c r="K11" s="91"/>
      <c r="L11" s="10"/>
    </row>
    <row r="12" spans="1:12" ht="63">
      <c r="A12" s="10"/>
      <c r="B12" s="19"/>
      <c r="C12" s="19" t="s">
        <v>136</v>
      </c>
      <c r="D12" s="89" t="s">
        <v>40</v>
      </c>
      <c r="E12" s="89"/>
      <c r="F12" s="89"/>
      <c r="G12" s="82" t="s">
        <v>41</v>
      </c>
      <c r="H12" s="19"/>
      <c r="I12" s="46" t="s">
        <v>28</v>
      </c>
      <c r="J12" s="52">
        <v>1.0416666666666666E-2</v>
      </c>
      <c r="K12" s="19"/>
      <c r="L12" s="10"/>
    </row>
    <row r="13" spans="1:12" ht="25.2">
      <c r="A13" s="10"/>
      <c r="B13" s="19"/>
      <c r="C13" s="19" t="s">
        <v>135</v>
      </c>
      <c r="D13" s="89" t="s">
        <v>137</v>
      </c>
      <c r="E13" s="89"/>
      <c r="F13" s="89"/>
      <c r="G13" s="82" t="s">
        <v>138</v>
      </c>
      <c r="H13" s="19"/>
      <c r="I13" s="46" t="s">
        <v>24</v>
      </c>
      <c r="J13" s="52">
        <v>1.0416666666666666E-2</v>
      </c>
      <c r="K13" s="19"/>
      <c r="L13" s="10"/>
    </row>
    <row r="14" spans="1:12" ht="25.2">
      <c r="A14" s="10"/>
      <c r="B14" s="19"/>
      <c r="C14" s="19" t="s">
        <v>141</v>
      </c>
      <c r="D14" s="89" t="s">
        <v>142</v>
      </c>
      <c r="E14" s="89"/>
      <c r="F14" s="89"/>
      <c r="G14" s="82" t="s">
        <v>138</v>
      </c>
      <c r="H14" s="19"/>
      <c r="I14" s="46" t="s">
        <v>24</v>
      </c>
      <c r="J14" s="52">
        <v>1.0416666666666666E-2</v>
      </c>
      <c r="K14" s="19"/>
      <c r="L14" s="10"/>
    </row>
  </sheetData>
  <mergeCells count="13">
    <mergeCell ref="D14:F14"/>
    <mergeCell ref="K10:K11"/>
    <mergeCell ref="D12:F12"/>
    <mergeCell ref="B4:C4"/>
    <mergeCell ref="B5:K5"/>
    <mergeCell ref="D7:E7"/>
    <mergeCell ref="B10:B11"/>
    <mergeCell ref="C10:C11"/>
    <mergeCell ref="D10:F11"/>
    <mergeCell ref="G10:G11"/>
    <mergeCell ref="H10:H11"/>
    <mergeCell ref="I10:J10"/>
    <mergeCell ref="D13:F13"/>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H12:H14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50"/>
  <sheetViews>
    <sheetView showGridLines="0" tabSelected="1" view="pageBreakPreview" zoomScale="90" zoomScaleNormal="100" zoomScaleSheetLayoutView="90" workbookViewId="0">
      <selection activeCell="C10" sqref="C10"/>
    </sheetView>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26</v>
      </c>
      <c r="C2" s="3"/>
      <c r="D2" s="3"/>
      <c r="E2" s="3"/>
      <c r="F2" s="4"/>
      <c r="G2" s="4"/>
      <c r="H2" s="3"/>
      <c r="I2" s="17"/>
      <c r="J2" s="17"/>
      <c r="K2" s="17"/>
      <c r="L2" s="9"/>
      <c r="M2" s="5"/>
    </row>
    <row r="3" spans="1:14">
      <c r="C3" s="7"/>
      <c r="D3" s="7"/>
      <c r="E3" s="7"/>
      <c r="F3" s="8"/>
      <c r="G3" s="8"/>
      <c r="H3" s="7"/>
      <c r="I3" s="18"/>
      <c r="J3" s="18"/>
      <c r="K3" s="18"/>
      <c r="L3" s="9"/>
      <c r="M3" s="9"/>
    </row>
    <row r="4" spans="1:14" ht="16.2">
      <c r="B4" s="92" t="s">
        <v>4</v>
      </c>
      <c r="C4" s="92"/>
      <c r="D4" s="92"/>
      <c r="E4" s="92"/>
      <c r="F4" s="8"/>
      <c r="G4" s="8"/>
      <c r="H4" s="7"/>
      <c r="I4" s="18"/>
      <c r="J4" s="18"/>
      <c r="K4" s="18"/>
      <c r="L4" s="9"/>
      <c r="M4" s="9"/>
    </row>
    <row r="5" spans="1:14" ht="36" customHeight="1">
      <c r="B5" s="111"/>
      <c r="C5" s="111"/>
      <c r="D5" s="111"/>
      <c r="E5" s="111"/>
      <c r="F5" s="111"/>
      <c r="G5" s="111"/>
      <c r="H5" s="111"/>
      <c r="I5" s="111"/>
      <c r="J5" s="111"/>
      <c r="K5" s="111"/>
      <c r="L5" s="26"/>
      <c r="M5" s="27"/>
    </row>
    <row r="6" spans="1:14">
      <c r="B6" s="10"/>
      <c r="C6" s="10"/>
      <c r="D6" s="10"/>
      <c r="E6" s="10"/>
      <c r="H6" s="10"/>
      <c r="L6" s="10"/>
      <c r="M6" s="10"/>
    </row>
    <row r="7" spans="1:14">
      <c r="B7" s="30" t="s">
        <v>14</v>
      </c>
      <c r="C7" s="30" t="s">
        <v>15</v>
      </c>
      <c r="D7" s="94" t="s">
        <v>20</v>
      </c>
      <c r="E7" s="94"/>
      <c r="F7" s="30" t="s">
        <v>10</v>
      </c>
      <c r="G7" s="30" t="s">
        <v>16</v>
      </c>
      <c r="I7" s="44"/>
      <c r="J7" s="6"/>
      <c r="K7" s="6"/>
      <c r="L7" s="6"/>
      <c r="M7" s="6"/>
      <c r="N7" s="6"/>
    </row>
    <row r="8" spans="1:14">
      <c r="B8" s="31" t="s">
        <v>34</v>
      </c>
      <c r="C8" s="55" t="s">
        <v>47</v>
      </c>
      <c r="D8" s="42" t="s">
        <v>19</v>
      </c>
      <c r="E8" s="41"/>
      <c r="F8" s="33" t="s">
        <v>21</v>
      </c>
      <c r="G8" s="33" t="s">
        <v>18</v>
      </c>
      <c r="K8" s="6"/>
      <c r="L8" s="6"/>
      <c r="M8" s="6"/>
      <c r="N8" s="6"/>
    </row>
    <row r="9" spans="1:14">
      <c r="B9" s="31" t="s">
        <v>35</v>
      </c>
      <c r="C9" s="55" t="s">
        <v>48</v>
      </c>
      <c r="D9" s="42" t="s">
        <v>19</v>
      </c>
      <c r="E9" s="41"/>
      <c r="F9" s="33" t="s">
        <v>21</v>
      </c>
      <c r="G9" s="33" t="s">
        <v>18</v>
      </c>
      <c r="K9" s="6"/>
      <c r="L9" s="6"/>
      <c r="M9" s="6"/>
      <c r="N9" s="6"/>
    </row>
    <row r="10" spans="1:14">
      <c r="B10" s="31" t="s">
        <v>42</v>
      </c>
      <c r="C10" s="33" t="s">
        <v>49</v>
      </c>
      <c r="D10" s="42" t="s">
        <v>19</v>
      </c>
      <c r="E10" s="41"/>
      <c r="F10" s="33" t="s">
        <v>21</v>
      </c>
      <c r="G10" s="33" t="s">
        <v>18</v>
      </c>
      <c r="K10" s="6"/>
      <c r="L10" s="6"/>
      <c r="M10" s="6"/>
      <c r="N10" s="6"/>
    </row>
    <row r="11" spans="1:14">
      <c r="B11" s="31" t="s">
        <v>80</v>
      </c>
      <c r="C11" s="33" t="s">
        <v>49</v>
      </c>
      <c r="D11" s="42" t="s">
        <v>19</v>
      </c>
      <c r="E11" s="41"/>
      <c r="F11" s="33" t="s">
        <v>21</v>
      </c>
      <c r="G11" s="33" t="s">
        <v>18</v>
      </c>
      <c r="K11" s="6"/>
      <c r="L11" s="6"/>
      <c r="M11" s="6"/>
      <c r="N11" s="6"/>
    </row>
    <row r="13" spans="1:14" ht="24" customHeight="1">
      <c r="A13" s="10"/>
      <c r="B13" s="91" t="s">
        <v>5</v>
      </c>
      <c r="C13" s="91" t="s">
        <v>7</v>
      </c>
      <c r="D13" s="91" t="s">
        <v>8</v>
      </c>
      <c r="E13" s="91"/>
      <c r="F13" s="91"/>
      <c r="G13" s="91" t="s">
        <v>9</v>
      </c>
      <c r="H13" s="90" t="s">
        <v>23</v>
      </c>
      <c r="I13" s="109" t="s">
        <v>31</v>
      </c>
      <c r="J13" s="110"/>
      <c r="K13" s="90" t="s">
        <v>32</v>
      </c>
      <c r="L13" s="6"/>
      <c r="M13" s="6"/>
      <c r="N13" s="6"/>
    </row>
    <row r="14" spans="1:14">
      <c r="A14" s="10"/>
      <c r="B14" s="91"/>
      <c r="C14" s="91"/>
      <c r="D14" s="91"/>
      <c r="E14" s="91"/>
      <c r="F14" s="91"/>
      <c r="G14" s="91"/>
      <c r="H14" s="90"/>
      <c r="I14" s="25" t="s">
        <v>25</v>
      </c>
      <c r="J14" s="25" t="s">
        <v>6</v>
      </c>
      <c r="K14" s="91"/>
      <c r="L14" s="6"/>
      <c r="M14" s="6"/>
      <c r="N14" s="6"/>
    </row>
    <row r="15" spans="1:14" ht="63">
      <c r="A15" s="10"/>
      <c r="B15" s="74" t="str">
        <f>master!B4</f>
        <v>導入</v>
      </c>
      <c r="C15" s="47" t="str">
        <f>master!C4</f>
        <v>はじめに　｜　“Be a social designer”とは</v>
      </c>
      <c r="D15" s="100" t="s">
        <v>101</v>
      </c>
      <c r="E15" s="101"/>
      <c r="F15" s="102"/>
      <c r="G15" s="47" t="s">
        <v>100</v>
      </c>
      <c r="H15" s="12"/>
      <c r="I15" s="45" t="s">
        <v>24</v>
      </c>
      <c r="J15" s="43">
        <v>2.0833333333333333E-3</v>
      </c>
      <c r="K15" s="40"/>
      <c r="L15" s="6"/>
      <c r="M15" s="6"/>
      <c r="N15" s="6"/>
    </row>
    <row r="16" spans="1:14" ht="63">
      <c r="A16" s="10"/>
      <c r="B16" s="97" t="str">
        <f>master!B5</f>
        <v>企画提案のステップ</v>
      </c>
      <c r="C16" s="47" t="str">
        <f>master!C5</f>
        <v>企画提案のステップ</v>
      </c>
      <c r="D16" s="100" t="s">
        <v>102</v>
      </c>
      <c r="E16" s="101"/>
      <c r="F16" s="102"/>
      <c r="G16" s="47" t="s">
        <v>100</v>
      </c>
      <c r="H16" s="12"/>
      <c r="I16" s="45" t="s">
        <v>24</v>
      </c>
      <c r="J16" s="43">
        <v>2.0833333333333333E-3</v>
      </c>
      <c r="K16" s="40"/>
      <c r="L16" s="6"/>
      <c r="M16" s="6"/>
      <c r="N16" s="6"/>
    </row>
    <row r="17" spans="1:14" ht="163.80000000000001">
      <c r="A17" s="11"/>
      <c r="B17" s="98"/>
      <c r="C17" s="47" t="str">
        <f>master!C6</f>
        <v>STEP①-1　日常の不便を考える</v>
      </c>
      <c r="D17" s="100" t="s">
        <v>134</v>
      </c>
      <c r="E17" s="101"/>
      <c r="F17" s="102"/>
      <c r="G17" s="47" t="s">
        <v>133</v>
      </c>
      <c r="H17" s="12"/>
      <c r="I17" s="45" t="s">
        <v>24</v>
      </c>
      <c r="J17" s="43">
        <v>3.472222222222222E-3</v>
      </c>
      <c r="K17" s="40"/>
      <c r="L17" s="6"/>
      <c r="M17" s="6"/>
      <c r="N17" s="6"/>
    </row>
    <row r="18" spans="1:14" ht="37.799999999999997">
      <c r="A18" s="11"/>
      <c r="B18" s="98"/>
      <c r="C18" s="47" t="str">
        <f>master!C7</f>
        <v>STEP①-2　課題の深掘り</v>
      </c>
      <c r="D18" s="100" t="s">
        <v>103</v>
      </c>
      <c r="E18" s="101"/>
      <c r="F18" s="102"/>
      <c r="G18" s="47" t="s">
        <v>36</v>
      </c>
      <c r="H18" s="12"/>
      <c r="I18" s="45" t="s">
        <v>24</v>
      </c>
      <c r="J18" s="43">
        <v>1.3888888888888889E-3</v>
      </c>
      <c r="K18" s="40"/>
      <c r="L18" s="6"/>
      <c r="M18" s="6"/>
      <c r="N18" s="6"/>
    </row>
    <row r="19" spans="1:14" ht="151.19999999999999">
      <c r="A19" s="11"/>
      <c r="B19" s="98"/>
      <c r="C19" s="47" t="str">
        <f>master!C8</f>
        <v>STEP①-3　ITアイデアへ落とし込む</v>
      </c>
      <c r="D19" s="100" t="s">
        <v>104</v>
      </c>
      <c r="E19" s="101"/>
      <c r="F19" s="102"/>
      <c r="G19" s="47" t="s">
        <v>43</v>
      </c>
      <c r="H19" s="12"/>
      <c r="I19" s="45" t="s">
        <v>24</v>
      </c>
      <c r="J19" s="43">
        <v>2.0833333333333333E-3</v>
      </c>
      <c r="K19" s="40"/>
      <c r="L19" s="6"/>
      <c r="M19" s="6"/>
      <c r="N19" s="6"/>
    </row>
    <row r="20" spans="1:14" ht="252">
      <c r="A20" s="11"/>
      <c r="B20" s="98"/>
      <c r="C20" s="47" t="str">
        <f>master!C9</f>
        <v>STEP②-1 創出したアイデアに関する調査・確認</v>
      </c>
      <c r="D20" s="100" t="s">
        <v>105</v>
      </c>
      <c r="E20" s="101"/>
      <c r="F20" s="102"/>
      <c r="G20" s="47" t="s">
        <v>45</v>
      </c>
      <c r="H20" s="12"/>
      <c r="I20" s="45" t="s">
        <v>24</v>
      </c>
      <c r="J20" s="43">
        <v>0</v>
      </c>
      <c r="K20" s="40"/>
      <c r="L20" s="6"/>
      <c r="M20" s="6"/>
      <c r="N20" s="6"/>
    </row>
    <row r="21" spans="1:14" ht="126">
      <c r="A21" s="11"/>
      <c r="B21" s="98"/>
      <c r="C21" s="47" t="str">
        <f>master!C10</f>
        <v>STEP②-2 環境分析</v>
      </c>
      <c r="D21" s="100" t="s">
        <v>106</v>
      </c>
      <c r="E21" s="101"/>
      <c r="F21" s="102"/>
      <c r="G21" s="47" t="s">
        <v>44</v>
      </c>
      <c r="H21" s="12"/>
      <c r="I21" s="45" t="s">
        <v>24</v>
      </c>
      <c r="J21" s="43">
        <v>2.0833333333333333E-3</v>
      </c>
      <c r="K21" s="40"/>
      <c r="L21" s="6"/>
      <c r="M21" s="6"/>
      <c r="N21" s="6"/>
    </row>
    <row r="22" spans="1:14" ht="63">
      <c r="A22" s="11"/>
      <c r="B22" s="98"/>
      <c r="C22" s="47" t="str">
        <f>master!C11</f>
        <v>（参考）PEST分析</v>
      </c>
      <c r="D22" s="100" t="s">
        <v>107</v>
      </c>
      <c r="E22" s="101"/>
      <c r="F22" s="102"/>
      <c r="G22" s="47" t="s">
        <v>100</v>
      </c>
      <c r="H22" s="12"/>
      <c r="I22" s="45" t="s">
        <v>24</v>
      </c>
      <c r="J22" s="43">
        <v>1.3888888888888889E-3</v>
      </c>
      <c r="K22" s="40"/>
      <c r="L22" s="6"/>
      <c r="M22" s="6"/>
      <c r="N22" s="6"/>
    </row>
    <row r="23" spans="1:14" ht="75.599999999999994">
      <c r="A23" s="11"/>
      <c r="B23" s="98"/>
      <c r="C23" s="47" t="str">
        <f>master!C12</f>
        <v>（参考） 3C分析</v>
      </c>
      <c r="D23" s="100" t="s">
        <v>108</v>
      </c>
      <c r="E23" s="101"/>
      <c r="F23" s="102"/>
      <c r="G23" s="47" t="s">
        <v>37</v>
      </c>
      <c r="H23" s="12"/>
      <c r="I23" s="45" t="s">
        <v>24</v>
      </c>
      <c r="J23" s="43">
        <v>1.3888888888888889E-3</v>
      </c>
      <c r="K23" s="40"/>
      <c r="L23" s="6"/>
      <c r="M23" s="6"/>
      <c r="N23" s="6"/>
    </row>
    <row r="24" spans="1:14" ht="75.599999999999994">
      <c r="A24" s="11"/>
      <c r="B24" s="98"/>
      <c r="C24" s="47" t="str">
        <f>master!C13</f>
        <v>（参考） SWOT分析</v>
      </c>
      <c r="D24" s="100" t="s">
        <v>109</v>
      </c>
      <c r="E24" s="101"/>
      <c r="F24" s="102"/>
      <c r="G24" s="47" t="s">
        <v>37</v>
      </c>
      <c r="H24" s="12"/>
      <c r="I24" s="45" t="s">
        <v>24</v>
      </c>
      <c r="J24" s="43">
        <v>1.3888888888888889E-3</v>
      </c>
      <c r="K24" s="40"/>
      <c r="L24" s="6"/>
      <c r="M24" s="6"/>
      <c r="N24" s="6"/>
    </row>
    <row r="25" spans="1:14" ht="113.4">
      <c r="A25" s="11"/>
      <c r="B25" s="98"/>
      <c r="C25" s="47" t="str">
        <f>master!C14</f>
        <v>STEP③-1 提案書作成</v>
      </c>
      <c r="D25" s="100" t="s">
        <v>110</v>
      </c>
      <c r="E25" s="101"/>
      <c r="F25" s="102"/>
      <c r="G25" s="47" t="s">
        <v>38</v>
      </c>
      <c r="H25" s="12"/>
      <c r="I25" s="45" t="s">
        <v>24</v>
      </c>
      <c r="J25" s="43">
        <v>1.3888888888888889E-3</v>
      </c>
      <c r="K25" s="40"/>
      <c r="L25" s="6"/>
      <c r="M25" s="6"/>
      <c r="N25" s="6"/>
    </row>
    <row r="26" spans="1:14" ht="88.2">
      <c r="A26" s="11"/>
      <c r="B26" s="98"/>
      <c r="C26" s="47" t="str">
        <f>master!C15</f>
        <v>STEP③-2 プロトタイプ作成</v>
      </c>
      <c r="D26" s="100" t="s">
        <v>111</v>
      </c>
      <c r="E26" s="101"/>
      <c r="F26" s="102"/>
      <c r="G26" s="47" t="s">
        <v>39</v>
      </c>
      <c r="H26" s="12"/>
      <c r="I26" s="45" t="s">
        <v>24</v>
      </c>
      <c r="J26" s="43">
        <v>1.3888888888888889E-3</v>
      </c>
      <c r="K26" s="40"/>
      <c r="L26" s="6"/>
      <c r="M26" s="6"/>
      <c r="N26" s="6"/>
    </row>
    <row r="27" spans="1:14" ht="113.4">
      <c r="A27" s="11"/>
      <c r="B27" s="99"/>
      <c r="C27" s="47" t="str">
        <f>master!C16</f>
        <v>まとめ</v>
      </c>
      <c r="D27" s="100" t="s">
        <v>112</v>
      </c>
      <c r="E27" s="101"/>
      <c r="F27" s="102"/>
      <c r="G27" s="47" t="s">
        <v>38</v>
      </c>
      <c r="H27" s="12"/>
      <c r="I27" s="45" t="s">
        <v>24</v>
      </c>
      <c r="J27" s="43">
        <v>1.3888888888888889E-3</v>
      </c>
      <c r="K27" s="40"/>
      <c r="L27" s="6"/>
      <c r="M27" s="6"/>
      <c r="N27" s="6"/>
    </row>
    <row r="28" spans="1:14" ht="37.799999999999997">
      <c r="A28" s="11"/>
      <c r="B28" s="97" t="str">
        <f>master!B18</f>
        <v>提案書のサンプルについて</v>
      </c>
      <c r="C28" s="47" t="str">
        <f>master!C18</f>
        <v>はじめに</v>
      </c>
      <c r="D28" s="100" t="s">
        <v>131</v>
      </c>
      <c r="E28" s="101"/>
      <c r="F28" s="102"/>
      <c r="G28" s="47" t="s">
        <v>115</v>
      </c>
      <c r="H28" s="12"/>
      <c r="I28" s="45" t="s">
        <v>24</v>
      </c>
      <c r="J28" s="43">
        <v>6.9444444444444447E-4</v>
      </c>
      <c r="K28" s="40"/>
      <c r="L28" s="6"/>
      <c r="M28" s="6"/>
      <c r="N28" s="6"/>
    </row>
    <row r="29" spans="1:14" ht="25.2">
      <c r="A29" s="11"/>
      <c r="B29" s="98"/>
      <c r="C29" s="47" t="str">
        <f>master!C19</f>
        <v>１．サマリ</v>
      </c>
      <c r="D29" s="100" t="s">
        <v>113</v>
      </c>
      <c r="E29" s="101"/>
      <c r="F29" s="102"/>
      <c r="G29" s="47" t="s">
        <v>81</v>
      </c>
      <c r="H29" s="12"/>
      <c r="I29" s="45" t="s">
        <v>24</v>
      </c>
      <c r="J29" s="43">
        <v>6.9444444444444447E-4</v>
      </c>
      <c r="K29" s="40"/>
      <c r="L29" s="6"/>
      <c r="M29" s="6"/>
      <c r="N29" s="6"/>
    </row>
    <row r="30" spans="1:14" ht="25.2">
      <c r="A30" s="11"/>
      <c r="B30" s="98"/>
      <c r="C30" s="47" t="str">
        <f>master!C20</f>
        <v>２．背景</v>
      </c>
      <c r="D30" s="100" t="s">
        <v>128</v>
      </c>
      <c r="E30" s="101"/>
      <c r="F30" s="102"/>
      <c r="G30" s="47" t="s">
        <v>81</v>
      </c>
      <c r="H30" s="12"/>
      <c r="I30" s="45" t="s">
        <v>24</v>
      </c>
      <c r="J30" s="43">
        <v>1.3888888888888889E-3</v>
      </c>
      <c r="K30" s="40"/>
      <c r="L30" s="6"/>
      <c r="M30" s="6"/>
      <c r="N30" s="6"/>
    </row>
    <row r="31" spans="1:14" ht="25.2">
      <c r="A31" s="11"/>
      <c r="B31" s="98"/>
      <c r="C31" s="47" t="str">
        <f>master!C21</f>
        <v>３．現状課題</v>
      </c>
      <c r="D31" s="100" t="s">
        <v>129</v>
      </c>
      <c r="E31" s="101"/>
      <c r="F31" s="102"/>
      <c r="G31" s="47" t="s">
        <v>81</v>
      </c>
      <c r="H31" s="12"/>
      <c r="I31" s="45" t="s">
        <v>24</v>
      </c>
      <c r="J31" s="43">
        <v>1.3888888888888889E-3</v>
      </c>
      <c r="K31" s="40"/>
      <c r="L31" s="6"/>
      <c r="M31" s="6"/>
      <c r="N31" s="6"/>
    </row>
    <row r="32" spans="1:14" ht="63">
      <c r="A32" s="11"/>
      <c r="B32" s="98"/>
      <c r="C32" s="47" t="str">
        <f>master!C22</f>
        <v>４．業界動向・市場分析</v>
      </c>
      <c r="D32" s="100" t="s">
        <v>118</v>
      </c>
      <c r="E32" s="101"/>
      <c r="F32" s="102"/>
      <c r="G32" s="47" t="s">
        <v>116</v>
      </c>
      <c r="H32" s="12"/>
      <c r="I32" s="45" t="s">
        <v>24</v>
      </c>
      <c r="J32" s="43">
        <v>1.3888888888888889E-3</v>
      </c>
      <c r="K32" s="40"/>
      <c r="L32" s="6"/>
      <c r="M32" s="6"/>
      <c r="N32" s="6"/>
    </row>
    <row r="33" spans="1:14" ht="37.799999999999997">
      <c r="A33" s="11"/>
      <c r="B33" s="98"/>
      <c r="C33" s="47" t="str">
        <f>master!C23</f>
        <v>５．市場機会</v>
      </c>
      <c r="D33" s="100" t="s">
        <v>121</v>
      </c>
      <c r="E33" s="101"/>
      <c r="F33" s="102"/>
      <c r="G33" s="47" t="s">
        <v>115</v>
      </c>
      <c r="H33" s="12"/>
      <c r="I33" s="45" t="s">
        <v>24</v>
      </c>
      <c r="J33" s="43">
        <v>1.3888888888888889E-3</v>
      </c>
      <c r="K33" s="40"/>
      <c r="L33" s="6"/>
      <c r="M33" s="6"/>
      <c r="N33" s="6"/>
    </row>
    <row r="34" spans="1:14" ht="37.799999999999997">
      <c r="A34" s="11"/>
      <c r="B34" s="98"/>
      <c r="C34" s="47" t="str">
        <f>master!C24</f>
        <v>６．サービス概要</v>
      </c>
      <c r="D34" s="100" t="s">
        <v>122</v>
      </c>
      <c r="E34" s="101"/>
      <c r="F34" s="102"/>
      <c r="G34" s="47" t="s">
        <v>115</v>
      </c>
      <c r="H34" s="12"/>
      <c r="I34" s="45" t="s">
        <v>24</v>
      </c>
      <c r="J34" s="43">
        <v>1.3888888888888889E-3</v>
      </c>
      <c r="K34" s="40"/>
      <c r="L34" s="6"/>
      <c r="M34" s="6"/>
      <c r="N34" s="6"/>
    </row>
    <row r="35" spans="1:14" ht="63">
      <c r="A35" s="11"/>
      <c r="B35" s="98"/>
      <c r="C35" s="47" t="str">
        <f>master!C25</f>
        <v>７．利用者体験イメージ</v>
      </c>
      <c r="D35" s="100" t="s">
        <v>123</v>
      </c>
      <c r="E35" s="101"/>
      <c r="F35" s="102"/>
      <c r="G35" s="47" t="s">
        <v>116</v>
      </c>
      <c r="H35" s="12"/>
      <c r="I35" s="45" t="s">
        <v>24</v>
      </c>
      <c r="J35" s="43">
        <v>1.3888888888888889E-3</v>
      </c>
      <c r="K35" s="40"/>
      <c r="L35" s="6"/>
      <c r="M35" s="6"/>
      <c r="N35" s="6"/>
    </row>
    <row r="36" spans="1:14" ht="25.2">
      <c r="A36" s="11"/>
      <c r="B36" s="98"/>
      <c r="C36" s="47" t="str">
        <f>master!C26</f>
        <v>８．事業構成</v>
      </c>
      <c r="D36" s="100" t="s">
        <v>114</v>
      </c>
      <c r="E36" s="101"/>
      <c r="F36" s="102"/>
      <c r="G36" s="47" t="s">
        <v>81</v>
      </c>
      <c r="H36" s="12"/>
      <c r="I36" s="45" t="s">
        <v>24</v>
      </c>
      <c r="J36" s="43">
        <v>1.3888888888888889E-3</v>
      </c>
      <c r="K36" s="40"/>
      <c r="L36" s="6"/>
      <c r="M36" s="6"/>
      <c r="N36" s="6"/>
    </row>
    <row r="37" spans="1:14" ht="37.799999999999997">
      <c r="A37" s="11"/>
      <c r="B37" s="98"/>
      <c r="C37" s="47" t="str">
        <f>master!C27</f>
        <v>９．提供価値</v>
      </c>
      <c r="D37" s="100" t="s">
        <v>124</v>
      </c>
      <c r="E37" s="101"/>
      <c r="F37" s="102"/>
      <c r="G37" s="47" t="s">
        <v>115</v>
      </c>
      <c r="H37" s="12"/>
      <c r="I37" s="45" t="s">
        <v>24</v>
      </c>
      <c r="J37" s="43">
        <v>1.3888888888888889E-3</v>
      </c>
      <c r="K37" s="40"/>
      <c r="L37" s="6"/>
      <c r="M37" s="6"/>
      <c r="N37" s="6"/>
    </row>
    <row r="38" spans="1:14" ht="63">
      <c r="A38" s="11"/>
      <c r="B38" s="98"/>
      <c r="C38" s="47" t="str">
        <f>master!C28</f>
        <v>１０．収益モデル</v>
      </c>
      <c r="D38" s="100" t="s">
        <v>117</v>
      </c>
      <c r="E38" s="101"/>
      <c r="F38" s="102"/>
      <c r="G38" s="47" t="s">
        <v>116</v>
      </c>
      <c r="H38" s="12"/>
      <c r="I38" s="45" t="s">
        <v>24</v>
      </c>
      <c r="J38" s="43">
        <v>1.3888888888888889E-3</v>
      </c>
      <c r="K38" s="40"/>
      <c r="L38" s="6"/>
      <c r="M38" s="6"/>
      <c r="N38" s="6"/>
    </row>
    <row r="39" spans="1:14" ht="63">
      <c r="A39" s="11"/>
      <c r="B39" s="98"/>
      <c r="C39" s="47" t="str">
        <f>master!C29</f>
        <v>１１．リスク・課題</v>
      </c>
      <c r="D39" s="100" t="s">
        <v>125</v>
      </c>
      <c r="E39" s="101"/>
      <c r="F39" s="102"/>
      <c r="G39" s="47" t="s">
        <v>116</v>
      </c>
      <c r="H39" s="12"/>
      <c r="I39" s="45" t="s">
        <v>24</v>
      </c>
      <c r="J39" s="43">
        <v>1.3888888888888889E-3</v>
      </c>
      <c r="K39" s="40"/>
      <c r="L39" s="6"/>
      <c r="M39" s="6"/>
      <c r="N39" s="6"/>
    </row>
    <row r="40" spans="1:14" ht="37.799999999999997">
      <c r="A40" s="11"/>
      <c r="B40" s="99"/>
      <c r="C40" s="47" t="str">
        <f>master!C30</f>
        <v>１２．今後の展望</v>
      </c>
      <c r="D40" s="100" t="s">
        <v>126</v>
      </c>
      <c r="E40" s="101"/>
      <c r="F40" s="102"/>
      <c r="G40" s="47" t="s">
        <v>115</v>
      </c>
      <c r="H40" s="12"/>
      <c r="I40" s="45" t="s">
        <v>24</v>
      </c>
      <c r="J40" s="43">
        <v>6.9444444444444447E-4</v>
      </c>
      <c r="K40" s="40"/>
      <c r="L40" s="6"/>
      <c r="M40" s="6"/>
      <c r="N40" s="6"/>
    </row>
    <row r="41" spans="1:14" ht="113.4">
      <c r="A41" s="11"/>
      <c r="B41" s="106" t="str">
        <f>master!B32</f>
        <v>個人演習1</v>
      </c>
      <c r="C41" s="65" t="str">
        <f>master!C32</f>
        <v>演習内容の説明</v>
      </c>
      <c r="D41" s="103" t="s">
        <v>99</v>
      </c>
      <c r="E41" s="104"/>
      <c r="F41" s="105"/>
      <c r="G41" s="65" t="s">
        <v>86</v>
      </c>
      <c r="H41" s="66"/>
      <c r="I41" s="67" t="s">
        <v>24</v>
      </c>
      <c r="J41" s="68">
        <v>1.3888888888888889E-3</v>
      </c>
      <c r="K41" s="69"/>
      <c r="L41" s="6"/>
      <c r="M41" s="6"/>
      <c r="N41" s="6"/>
    </row>
    <row r="42" spans="1:14" ht="201.6">
      <c r="A42" s="11"/>
      <c r="B42" s="107"/>
      <c r="C42" s="65" t="str">
        <f>master!C33</f>
        <v>演習成果物の説明</v>
      </c>
      <c r="D42" s="103" t="s">
        <v>127</v>
      </c>
      <c r="E42" s="104"/>
      <c r="F42" s="105"/>
      <c r="G42" s="65" t="s">
        <v>88</v>
      </c>
      <c r="H42" s="66"/>
      <c r="I42" s="67" t="s">
        <v>24</v>
      </c>
      <c r="J42" s="68">
        <v>1.3888888888888889E-3</v>
      </c>
      <c r="K42" s="69"/>
      <c r="L42" s="6"/>
      <c r="M42" s="6"/>
      <c r="N42" s="6"/>
    </row>
    <row r="43" spans="1:14" ht="176.4">
      <c r="A43" s="11"/>
      <c r="B43" s="107"/>
      <c r="C43" s="65" t="str">
        <f>master!C34</f>
        <v>サービスの検討</v>
      </c>
      <c r="D43" s="103" t="s">
        <v>97</v>
      </c>
      <c r="E43" s="104"/>
      <c r="F43" s="105"/>
      <c r="G43" s="65" t="s">
        <v>90</v>
      </c>
      <c r="H43" s="66"/>
      <c r="I43" s="67" t="s">
        <v>24</v>
      </c>
      <c r="J43" s="68">
        <v>1.3888888888888888E-2</v>
      </c>
      <c r="K43" s="69"/>
      <c r="L43" s="6"/>
      <c r="M43" s="6"/>
      <c r="N43" s="6"/>
    </row>
    <row r="44" spans="1:14" ht="138.6">
      <c r="A44" s="11"/>
      <c r="B44" s="107"/>
      <c r="C44" s="65" t="str">
        <f>master!C35</f>
        <v>サービスのブラッシュアップ</v>
      </c>
      <c r="D44" s="103" t="s">
        <v>96</v>
      </c>
      <c r="E44" s="104"/>
      <c r="F44" s="105"/>
      <c r="G44" s="65" t="s">
        <v>92</v>
      </c>
      <c r="H44" s="66"/>
      <c r="I44" s="67" t="s">
        <v>24</v>
      </c>
      <c r="J44" s="68">
        <v>2.0833333333333332E-2</v>
      </c>
      <c r="K44" s="69"/>
      <c r="L44" s="6"/>
      <c r="M44" s="6"/>
      <c r="N44" s="6"/>
    </row>
    <row r="45" spans="1:14" ht="63">
      <c r="A45" s="11"/>
      <c r="B45" s="107"/>
      <c r="C45" s="65" t="str">
        <f>master!C36</f>
        <v>サービスの決定</v>
      </c>
      <c r="D45" s="103" t="s">
        <v>95</v>
      </c>
      <c r="E45" s="104"/>
      <c r="F45" s="105"/>
      <c r="G45" s="65" t="s">
        <v>89</v>
      </c>
      <c r="H45" s="66"/>
      <c r="I45" s="67" t="s">
        <v>24</v>
      </c>
      <c r="J45" s="68">
        <v>2.0833333333333332E-2</v>
      </c>
      <c r="K45" s="69"/>
      <c r="L45" s="6"/>
      <c r="M45" s="6"/>
      <c r="N45" s="6"/>
    </row>
    <row r="46" spans="1:14" ht="138.6">
      <c r="A46" s="11"/>
      <c r="B46" s="107"/>
      <c r="C46" s="65" t="str">
        <f>master!C37</f>
        <v>成果物の作成</v>
      </c>
      <c r="D46" s="103" t="s">
        <v>94</v>
      </c>
      <c r="E46" s="104"/>
      <c r="F46" s="105"/>
      <c r="G46" s="65" t="s">
        <v>92</v>
      </c>
      <c r="H46" s="66"/>
      <c r="I46" s="67" t="s">
        <v>24</v>
      </c>
      <c r="J46" s="68" t="s">
        <v>119</v>
      </c>
      <c r="K46" s="69"/>
      <c r="L46" s="6"/>
      <c r="M46" s="6"/>
      <c r="N46" s="6"/>
    </row>
    <row r="47" spans="1:14" ht="25.2">
      <c r="A47" s="11"/>
      <c r="B47" s="108"/>
      <c r="C47" s="65" t="str">
        <f>master!C38</f>
        <v>成果物の提出</v>
      </c>
      <c r="D47" s="103" t="s">
        <v>93</v>
      </c>
      <c r="E47" s="104"/>
      <c r="F47" s="105"/>
      <c r="G47" s="65" t="s">
        <v>98</v>
      </c>
      <c r="H47" s="66"/>
      <c r="I47" s="67" t="s">
        <v>24</v>
      </c>
      <c r="J47" s="68" t="s">
        <v>119</v>
      </c>
      <c r="K47" s="69"/>
      <c r="L47" s="6"/>
      <c r="M47" s="6"/>
      <c r="N47" s="6"/>
    </row>
    <row r="48" spans="1:14" ht="88.2">
      <c r="A48" s="11"/>
      <c r="B48" s="106" t="str">
        <f>master!B40</f>
        <v>個人演習2</v>
      </c>
      <c r="C48" s="65" t="str">
        <f>master!C40</f>
        <v>演習内容の説明</v>
      </c>
      <c r="D48" s="103" t="s">
        <v>147</v>
      </c>
      <c r="E48" s="104"/>
      <c r="F48" s="105"/>
      <c r="G48" s="65" t="s">
        <v>145</v>
      </c>
      <c r="H48" s="66"/>
      <c r="I48" s="67" t="s">
        <v>24</v>
      </c>
      <c r="J48" s="68">
        <v>2.0833333333333333E-3</v>
      </c>
      <c r="K48" s="69"/>
      <c r="L48" s="6"/>
      <c r="M48" s="6"/>
      <c r="N48" s="6"/>
    </row>
    <row r="49" spans="1:14" ht="88.2">
      <c r="A49" s="11"/>
      <c r="B49" s="107"/>
      <c r="C49" s="65" t="str">
        <f>master!C41</f>
        <v>個人提案の実施</v>
      </c>
      <c r="D49" s="103" t="s">
        <v>149</v>
      </c>
      <c r="E49" s="104"/>
      <c r="F49" s="105"/>
      <c r="G49" s="65" t="s">
        <v>145</v>
      </c>
      <c r="H49" s="66"/>
      <c r="I49" s="67" t="s">
        <v>24</v>
      </c>
      <c r="J49" s="68">
        <v>6.25E-2</v>
      </c>
      <c r="K49" s="69"/>
      <c r="L49" s="6"/>
      <c r="M49" s="6"/>
      <c r="N49" s="6"/>
    </row>
    <row r="50" spans="1:14" ht="25.2">
      <c r="A50" s="11"/>
      <c r="B50" s="108"/>
      <c r="C50" s="65" t="str">
        <f>master!C42</f>
        <v>提案内容のブラッシュアップ</v>
      </c>
      <c r="D50" s="103" t="s">
        <v>148</v>
      </c>
      <c r="E50" s="104"/>
      <c r="F50" s="105"/>
      <c r="G50" s="65" t="s">
        <v>132</v>
      </c>
      <c r="H50" s="66"/>
      <c r="I50" s="67" t="s">
        <v>24</v>
      </c>
      <c r="J50" s="68" t="s">
        <v>119</v>
      </c>
      <c r="K50" s="69"/>
      <c r="L50" s="6"/>
      <c r="M50" s="6"/>
      <c r="N50" s="6"/>
    </row>
  </sheetData>
  <mergeCells count="50">
    <mergeCell ref="D48:F48"/>
    <mergeCell ref="D47:F47"/>
    <mergeCell ref="D49:F49"/>
    <mergeCell ref="B48:B50"/>
    <mergeCell ref="B41:B47"/>
    <mergeCell ref="D15:F15"/>
    <mergeCell ref="D30:F30"/>
    <mergeCell ref="D31:F31"/>
    <mergeCell ref="D32:F32"/>
    <mergeCell ref="D33:F33"/>
    <mergeCell ref="D34:F34"/>
    <mergeCell ref="D35:F35"/>
    <mergeCell ref="D36:F36"/>
    <mergeCell ref="D37:F37"/>
    <mergeCell ref="D38:F38"/>
    <mergeCell ref="D39:F39"/>
    <mergeCell ref="D27:F27"/>
    <mergeCell ref="D20:F20"/>
    <mergeCell ref="D23:F23"/>
    <mergeCell ref="D24:F24"/>
    <mergeCell ref="D25:F25"/>
    <mergeCell ref="D26:F26"/>
    <mergeCell ref="D40:F40"/>
    <mergeCell ref="D42:F42"/>
    <mergeCell ref="D16:F16"/>
    <mergeCell ref="D22:F22"/>
    <mergeCell ref="D17:F17"/>
    <mergeCell ref="D19:F19"/>
    <mergeCell ref="D21:F21"/>
    <mergeCell ref="D18:F18"/>
    <mergeCell ref="I13:J13"/>
    <mergeCell ref="H13:H14"/>
    <mergeCell ref="B4:E4"/>
    <mergeCell ref="B5:K5"/>
    <mergeCell ref="D13:F14"/>
    <mergeCell ref="G13:G14"/>
    <mergeCell ref="B13:B14"/>
    <mergeCell ref="C13:C14"/>
    <mergeCell ref="K13:K14"/>
    <mergeCell ref="D7:E7"/>
    <mergeCell ref="B16:B27"/>
    <mergeCell ref="D28:F28"/>
    <mergeCell ref="B28:B40"/>
    <mergeCell ref="D44:F44"/>
    <mergeCell ref="D29:F29"/>
    <mergeCell ref="D41:F41"/>
    <mergeCell ref="D45:F45"/>
    <mergeCell ref="D46:F46"/>
    <mergeCell ref="D50:F50"/>
    <mergeCell ref="D43:F43"/>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H15:H50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43"/>
  <sheetViews>
    <sheetView topLeftCell="A29" workbookViewId="0">
      <selection activeCell="A42" sqref="A42"/>
    </sheetView>
  </sheetViews>
  <sheetFormatPr defaultColWidth="8.88671875" defaultRowHeight="13.2"/>
  <cols>
    <col min="1" max="1" width="4.6640625" customWidth="1"/>
    <col min="2" max="2" width="40.109375" customWidth="1"/>
    <col min="3" max="3" width="44" bestFit="1" customWidth="1"/>
  </cols>
  <sheetData>
    <row r="1" spans="2:3">
      <c r="B1" t="s">
        <v>46</v>
      </c>
    </row>
    <row r="2" spans="2:3">
      <c r="B2" s="63" t="s">
        <v>12</v>
      </c>
      <c r="C2" s="63" t="s">
        <v>13</v>
      </c>
    </row>
    <row r="3" spans="2:3">
      <c r="B3" s="64"/>
      <c r="C3" s="64"/>
    </row>
    <row r="4" spans="2:3">
      <c r="B4" t="s">
        <v>63</v>
      </c>
      <c r="C4" t="s">
        <v>50</v>
      </c>
    </row>
    <row r="5" spans="2:3">
      <c r="B5" t="s">
        <v>51</v>
      </c>
      <c r="C5" t="s">
        <v>51</v>
      </c>
    </row>
    <row r="6" spans="2:3">
      <c r="C6" t="s">
        <v>52</v>
      </c>
    </row>
    <row r="7" spans="2:3">
      <c r="C7" t="s">
        <v>53</v>
      </c>
    </row>
    <row r="8" spans="2:3">
      <c r="C8" t="s">
        <v>54</v>
      </c>
    </row>
    <row r="9" spans="2:3">
      <c r="C9" t="s">
        <v>55</v>
      </c>
    </row>
    <row r="10" spans="2:3">
      <c r="C10" t="s">
        <v>56</v>
      </c>
    </row>
    <row r="11" spans="2:3">
      <c r="C11" t="s">
        <v>57</v>
      </c>
    </row>
    <row r="12" spans="2:3">
      <c r="C12" t="s">
        <v>58</v>
      </c>
    </row>
    <row r="13" spans="2:3">
      <c r="C13" t="s">
        <v>59</v>
      </c>
    </row>
    <row r="14" spans="2:3">
      <c r="C14" t="s">
        <v>60</v>
      </c>
    </row>
    <row r="15" spans="2:3">
      <c r="C15" t="s">
        <v>61</v>
      </c>
    </row>
    <row r="16" spans="2:3">
      <c r="B16" t="s">
        <v>62</v>
      </c>
      <c r="C16" t="s">
        <v>62</v>
      </c>
    </row>
    <row r="17" spans="2:3">
      <c r="B17" s="64"/>
      <c r="C17" s="64"/>
    </row>
    <row r="18" spans="2:3">
      <c r="B18" t="s">
        <v>120</v>
      </c>
      <c r="C18" s="70" t="s">
        <v>130</v>
      </c>
    </row>
    <row r="19" spans="2:3">
      <c r="C19" s="70" t="s">
        <v>64</v>
      </c>
    </row>
    <row r="20" spans="2:3">
      <c r="C20" s="70" t="s">
        <v>65</v>
      </c>
    </row>
    <row r="21" spans="2:3">
      <c r="C21" s="70" t="s">
        <v>66</v>
      </c>
    </row>
    <row r="22" spans="2:3">
      <c r="C22" s="70" t="s">
        <v>67</v>
      </c>
    </row>
    <row r="23" spans="2:3">
      <c r="C23" s="70" t="s">
        <v>68</v>
      </c>
    </row>
    <row r="24" spans="2:3">
      <c r="C24" s="70" t="s">
        <v>69</v>
      </c>
    </row>
    <row r="25" spans="2:3">
      <c r="C25" s="71" t="s">
        <v>70</v>
      </c>
    </row>
    <row r="26" spans="2:3">
      <c r="C26" s="70" t="s">
        <v>71</v>
      </c>
    </row>
    <row r="27" spans="2:3">
      <c r="C27" s="70" t="s">
        <v>72</v>
      </c>
    </row>
    <row r="28" spans="2:3">
      <c r="C28" s="70" t="s">
        <v>73</v>
      </c>
    </row>
    <row r="29" spans="2:3">
      <c r="C29" s="70" t="s">
        <v>74</v>
      </c>
    </row>
    <row r="30" spans="2:3">
      <c r="C30" s="70" t="s">
        <v>75</v>
      </c>
    </row>
    <row r="31" spans="2:3">
      <c r="B31" s="64"/>
      <c r="C31" s="64"/>
    </row>
    <row r="32" spans="2:3">
      <c r="B32" t="s">
        <v>139</v>
      </c>
      <c r="C32" s="70" t="s">
        <v>76</v>
      </c>
    </row>
    <row r="33" spans="2:3">
      <c r="C33" s="70" t="s">
        <v>87</v>
      </c>
    </row>
    <row r="34" spans="2:3">
      <c r="C34" s="70" t="s">
        <v>82</v>
      </c>
    </row>
    <row r="35" spans="2:3">
      <c r="C35" s="70" t="s">
        <v>91</v>
      </c>
    </row>
    <row r="36" spans="2:3">
      <c r="C36" t="s">
        <v>83</v>
      </c>
    </row>
    <row r="37" spans="2:3">
      <c r="C37" t="s">
        <v>84</v>
      </c>
    </row>
    <row r="38" spans="2:3">
      <c r="C38" t="s">
        <v>85</v>
      </c>
    </row>
    <row r="39" spans="2:3">
      <c r="B39" s="64"/>
      <c r="C39" s="64"/>
    </row>
    <row r="40" spans="2:3">
      <c r="B40" t="s">
        <v>140</v>
      </c>
      <c r="C40" s="70" t="s">
        <v>144</v>
      </c>
    </row>
    <row r="41" spans="2:3">
      <c r="C41" s="70" t="s">
        <v>143</v>
      </c>
    </row>
    <row r="42" spans="2:3">
      <c r="C42" s="70" t="s">
        <v>146</v>
      </c>
    </row>
    <row r="43" spans="2:3">
      <c r="C43" s="70"/>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スケジュール（3日）</vt:lpstr>
      <vt:lpstr>特記イベント</vt:lpstr>
      <vt:lpstr>講義</vt:lpstr>
      <vt:lpstr>master</vt:lpstr>
      <vt:lpstr>'スケジュール（3日）'!Print_Area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2026-06-30T08:02:27Z</dcterms:modified>
</cp:coreProperties>
</file>
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myrepo\ai_navive\IG\"/>
    </mc:Choice>
  </mc:AlternateContent>
  <xr:revisionPtr revIDLastSave="0" documentId="13_ncr:1_{08FA83E7-2C82-455B-BAD0-2A8A0807F9C0}" xr6:coauthVersionLast="47" xr6:coauthVersionMax="47" xr10:uidLastSave="{00000000-0000-0000-0000-000000000000}"/>
  <bookViews>
    <workbookView xWindow="-108" yWindow="-108" windowWidth="23256" windowHeight="12456" tabRatio="860" xr2:uid="{00000000-000D-0000-FFFF-FFFF00000000}"/>
  </bookViews>
  <sheets>
    <sheet name="スケジュール（5日）" sheetId="33" r:id="rId1"/>
    <sheet name="特記イベント" sheetId="36" r:id="rId2"/>
    <sheet name="講義" sheetId="31" r:id="rId3"/>
    <sheet name="master" sheetId="21" r:id="rId4"/>
  </sheets>
  <definedNames>
    <definedName name="_xlnm.Print_Area" localSheetId="0">'スケジュール（5日）'!$A$1:$L$44</definedName>
    <definedName name="_xlnm.Print_Area" localSheetId="2">講義!$A$1:$L$60</definedName>
    <definedName name="_xlnm.Print_Area" localSheetId="1">特記イベント!$A$1:$L$14</definedName>
  </definedNames>
  <calcPr calcId="191029"/>
</workbook>
</file>

<file path=xl/calcChain.xml><?xml version="1.0" encoding="utf-8"?>
<calcChain xmlns="http://schemas.openxmlformats.org/spreadsheetml/2006/main">
  <c r="B2" i="33" l="1"/>
  <c r="G11" i="33"/>
  <c r="C16" i="33"/>
  <c r="C14" i="33"/>
  <c r="C13" i="33"/>
  <c r="C12" i="33"/>
  <c r="C11" i="33"/>
  <c r="C29" i="31"/>
  <c r="C57" i="31"/>
  <c r="C55" i="31"/>
  <c r="C54" i="31"/>
  <c r="C53" i="31"/>
  <c r="C52" i="31"/>
  <c r="C51" i="31"/>
  <c r="C50" i="31"/>
  <c r="C49" i="31"/>
  <c r="C48" i="31"/>
  <c r="C47" i="31"/>
  <c r="C46" i="31"/>
  <c r="C45" i="31"/>
  <c r="C44" i="31"/>
  <c r="B41" i="31"/>
  <c r="C41" i="31"/>
  <c r="K26" i="33"/>
  <c r="B59" i="31"/>
  <c r="K11" i="33"/>
  <c r="C59" i="31"/>
  <c r="C58" i="31"/>
  <c r="C56" i="31"/>
  <c r="B56" i="31"/>
  <c r="C43" i="31"/>
  <c r="C42" i="31"/>
  <c r="B48" i="31"/>
  <c r="C40" i="31"/>
  <c r="C39" i="31"/>
  <c r="C38" i="31"/>
  <c r="C37" i="31"/>
  <c r="C36" i="31"/>
  <c r="C35" i="31"/>
  <c r="C34" i="31"/>
  <c r="C33" i="31"/>
  <c r="C32" i="31"/>
  <c r="C31" i="31"/>
  <c r="C30" i="31"/>
  <c r="B29" i="31"/>
  <c r="C28" i="31"/>
  <c r="B28" i="31"/>
  <c r="C27" i="31"/>
  <c r="C26" i="31"/>
  <c r="C25" i="31"/>
  <c r="C24" i="31"/>
  <c r="C23" i="31"/>
  <c r="C22" i="31"/>
  <c r="C21" i="31"/>
  <c r="C20" i="31"/>
  <c r="C19" i="31"/>
  <c r="C18" i="31"/>
  <c r="C17" i="31"/>
  <c r="B17" i="31"/>
  <c r="B16" i="31"/>
  <c r="C16"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ishida</author>
  </authors>
  <commentList>
    <comment ref="F7" authorId="0" shapeId="0" xr:uid="{00000000-0006-0000-0100-000001000000}">
      <text>
        <r>
          <rPr>
            <b/>
            <sz val="9"/>
            <color indexed="81"/>
            <rFont val="MS P ゴシック"/>
            <family val="3"/>
            <charset val="128"/>
          </rPr>
          <t>・講義開始前：1日目の講義開始前
・講義終了後：最終日のアンケート実施前
・各演習開始前：各演習の開始前
・各演習終了後：各演習の終了後
・全演習終了後：全演習の終了後
・配布済み：すでに所有している状態</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ishida</author>
  </authors>
  <commentList>
    <comment ref="F8" authorId="0" shapeId="0" xr:uid="{00000000-0006-0000-0200-000001000000}">
      <text>
        <r>
          <rPr>
            <b/>
            <sz val="9"/>
            <color indexed="81"/>
            <rFont val="MS P ゴシック"/>
            <family val="3"/>
            <charset val="128"/>
          </rPr>
          <t>・講義開始前：1日目の講義開始前
・講義終了後：最終日のアンケート実施前
・各演習開始前：各演習の開始前
・各演習終了後：各演習の終了後
・全演習終了後：全演習の終了後
・配布済み：すでに所有している状態</t>
        </r>
      </text>
    </comment>
  </commentList>
</comments>
</file>

<file path=xl/sharedStrings.xml><?xml version="1.0" encoding="utf-8"?>
<sst xmlns="http://schemas.openxmlformats.org/spreadsheetml/2006/main" count="291" uniqueCount="163">
  <si>
    <t>1 日目</t>
    <rPh sb="2" eb="3">
      <t>ニチ</t>
    </rPh>
    <rPh sb="3" eb="4">
      <t>メ</t>
    </rPh>
    <phoneticPr fontId="3"/>
  </si>
  <si>
    <t>お昼休み</t>
    <rPh sb="1" eb="3">
      <t>ヒルヤス</t>
    </rPh>
    <phoneticPr fontId="3"/>
  </si>
  <si>
    <t>スケジュール</t>
    <phoneticPr fontId="3"/>
  </si>
  <si>
    <t>オリエンテーション</t>
    <phoneticPr fontId="3"/>
  </si>
  <si>
    <t>講師の事前準備</t>
    <rPh sb="0" eb="2">
      <t>コウシ</t>
    </rPh>
    <rPh sb="3" eb="7">
      <t>ジゼンジュンビ</t>
    </rPh>
    <phoneticPr fontId="3"/>
  </si>
  <si>
    <t>章</t>
    <rPh sb="0" eb="1">
      <t>ショウ</t>
    </rPh>
    <phoneticPr fontId="3"/>
  </si>
  <si>
    <t>時間</t>
    <rPh sb="0" eb="2">
      <t>ジカン</t>
    </rPh>
    <phoneticPr fontId="3"/>
  </si>
  <si>
    <t>テーマ</t>
    <phoneticPr fontId="3"/>
  </si>
  <si>
    <t>主なポイント</t>
    <rPh sb="0" eb="1">
      <t>オモ</t>
    </rPh>
    <phoneticPr fontId="3"/>
  </si>
  <si>
    <t>使用教材</t>
    <rPh sb="0" eb="2">
      <t>シヨウ</t>
    </rPh>
    <rPh sb="2" eb="4">
      <t>キョウザイ</t>
    </rPh>
    <phoneticPr fontId="3"/>
  </si>
  <si>
    <t>配布タイミング</t>
    <rPh sb="0" eb="2">
      <t>ハイフ</t>
    </rPh>
    <phoneticPr fontId="3"/>
  </si>
  <si>
    <t>科目修了条件</t>
    <rPh sb="0" eb="2">
      <t>カモク</t>
    </rPh>
    <rPh sb="2" eb="4">
      <t>シュウリョウ</t>
    </rPh>
    <rPh sb="4" eb="6">
      <t>ジョウケン</t>
    </rPh>
    <phoneticPr fontId="3"/>
  </si>
  <si>
    <t>章の名称</t>
    <rPh sb="0" eb="1">
      <t>ショウ</t>
    </rPh>
    <rPh sb="2" eb="4">
      <t>メイショウ</t>
    </rPh>
    <phoneticPr fontId="3"/>
  </si>
  <si>
    <t>節の名称</t>
    <rPh sb="0" eb="1">
      <t>セツ</t>
    </rPh>
    <rPh sb="2" eb="4">
      <t>メイショウ</t>
    </rPh>
    <phoneticPr fontId="3"/>
  </si>
  <si>
    <t>番号</t>
    <rPh sb="0" eb="2">
      <t>バンゴウ</t>
    </rPh>
    <phoneticPr fontId="3"/>
  </si>
  <si>
    <t>使用教材</t>
    <phoneticPr fontId="3"/>
  </si>
  <si>
    <t>配布形式</t>
    <rPh sb="0" eb="2">
      <t>ハイフ</t>
    </rPh>
    <rPh sb="2" eb="4">
      <t>ケイシキ</t>
    </rPh>
    <phoneticPr fontId="3"/>
  </si>
  <si>
    <t>共通1</t>
    <rPh sb="0" eb="2">
      <t>キョウツウ</t>
    </rPh>
    <phoneticPr fontId="3"/>
  </si>
  <si>
    <t>電子</t>
    <rPh sb="0" eb="2">
      <t>デンシ</t>
    </rPh>
    <phoneticPr fontId="3"/>
  </si>
  <si>
    <t>－</t>
    <phoneticPr fontId="3"/>
  </si>
  <si>
    <t>講師用資料の保存先</t>
    <rPh sb="0" eb="2">
      <t>コウシ</t>
    </rPh>
    <rPh sb="2" eb="3">
      <t>ヨウ</t>
    </rPh>
    <rPh sb="3" eb="5">
      <t>シリョウ</t>
    </rPh>
    <rPh sb="6" eb="8">
      <t>ホゾン</t>
    </rPh>
    <rPh sb="8" eb="9">
      <t>サキ</t>
    </rPh>
    <phoneticPr fontId="3"/>
  </si>
  <si>
    <t>済</t>
    <rPh sb="0" eb="1">
      <t>スミ</t>
    </rPh>
    <phoneticPr fontId="3"/>
  </si>
  <si>
    <t>不要</t>
    <rPh sb="0" eb="2">
      <t>フヨウ</t>
    </rPh>
    <phoneticPr fontId="3"/>
  </si>
  <si>
    <t>環境</t>
    <rPh sb="0" eb="2">
      <t>カンキョウ</t>
    </rPh>
    <phoneticPr fontId="3"/>
  </si>
  <si>
    <t>○</t>
    <phoneticPr fontId="3"/>
  </si>
  <si>
    <t>可否</t>
    <rPh sb="0" eb="2">
      <t>カヒ</t>
    </rPh>
    <phoneticPr fontId="3"/>
  </si>
  <si>
    <t>講義</t>
    <rPh sb="0" eb="2">
      <t>コウギ</t>
    </rPh>
    <phoneticPr fontId="3"/>
  </si>
  <si>
    <t>特記イベント</t>
    <phoneticPr fontId="3"/>
  </si>
  <si>
    <t>○</t>
    <phoneticPr fontId="3"/>
  </si>
  <si>
    <t/>
  </si>
  <si>
    <t>研修ファイルサーバの保存先</t>
    <rPh sb="0" eb="2">
      <t>ケンシュウ</t>
    </rPh>
    <rPh sb="10" eb="12">
      <t>ホゾン</t>
    </rPh>
    <rPh sb="12" eb="13">
      <t>サキ</t>
    </rPh>
    <phoneticPr fontId="3"/>
  </si>
  <si>
    <t>実施上のの注意点</t>
    <rPh sb="0" eb="2">
      <t>ジッシ</t>
    </rPh>
    <rPh sb="2" eb="3">
      <t>ジョウ</t>
    </rPh>
    <rPh sb="5" eb="7">
      <t>チュウイ</t>
    </rPh>
    <rPh sb="7" eb="8">
      <t>テン</t>
    </rPh>
    <phoneticPr fontId="3"/>
  </si>
  <si>
    <t>共通</t>
    <rPh sb="0" eb="2">
      <t>キョウツウ</t>
    </rPh>
    <phoneticPr fontId="3"/>
  </si>
  <si>
    <t>実施上の注意点</t>
    <rPh sb="0" eb="2">
      <t>ジッシ</t>
    </rPh>
    <rPh sb="2" eb="3">
      <t>ジョウ</t>
    </rPh>
    <rPh sb="4" eb="6">
      <t>チュウイ</t>
    </rPh>
    <rPh sb="6" eb="7">
      <t>テン</t>
    </rPh>
    <phoneticPr fontId="3"/>
  </si>
  <si>
    <t>オリエンテーション用資材</t>
    <rPh sb="9" eb="10">
      <t>ヨウ</t>
    </rPh>
    <rPh sb="10" eb="12">
      <t>シザイ</t>
    </rPh>
    <phoneticPr fontId="3"/>
  </si>
  <si>
    <t>AI-01</t>
    <phoneticPr fontId="3"/>
  </si>
  <si>
    <t>AI-02</t>
    <phoneticPr fontId="3"/>
  </si>
  <si>
    <t xml:space="preserve">・AI-01
</t>
    <phoneticPr fontId="3"/>
  </si>
  <si>
    <t xml:space="preserve">・AI-01
</t>
    <phoneticPr fontId="3"/>
  </si>
  <si>
    <t xml:space="preserve">・AI-01
</t>
    <phoneticPr fontId="3"/>
  </si>
  <si>
    <t xml:space="preserve">・AI-01
</t>
    <phoneticPr fontId="3"/>
  </si>
  <si>
    <t xml:space="preserve">・AI-01
</t>
    <phoneticPr fontId="3"/>
  </si>
  <si>
    <t xml:space="preserve">・AI-01
</t>
    <phoneticPr fontId="3"/>
  </si>
  <si>
    <t xml:space="preserve">・AI-01
</t>
    <phoneticPr fontId="3"/>
  </si>
  <si>
    <t>・教材のダウンロード
・本科目の概要説明
　科目の位置づけや目的、全体スケジュールの説明</t>
    <rPh sb="1" eb="3">
      <t>キョウザイ</t>
    </rPh>
    <phoneticPr fontId="3"/>
  </si>
  <si>
    <t xml:space="preserve">・共通1
</t>
    <rPh sb="1" eb="3">
      <t>キョウツウ</t>
    </rPh>
    <phoneticPr fontId="3"/>
  </si>
  <si>
    <t>AI-03</t>
  </si>
  <si>
    <t xml:space="preserve">・AI-01
</t>
    <phoneticPr fontId="3"/>
  </si>
  <si>
    <t xml:space="preserve">・AI-01
</t>
    <phoneticPr fontId="3"/>
  </si>
  <si>
    <t xml:space="preserve">・AI-01
</t>
    <phoneticPr fontId="3"/>
  </si>
  <si>
    <t xml:space="preserve">・AI-01
</t>
    <phoneticPr fontId="3"/>
  </si>
  <si>
    <t xml:space="preserve">・AI-01
</t>
    <phoneticPr fontId="3"/>
  </si>
  <si>
    <t>AI Native-提案演習</t>
    <rPh sb="10" eb="14">
      <t>テイアンエンシュウ</t>
    </rPh>
    <phoneticPr fontId="3"/>
  </si>
  <si>
    <t>【AI Native提案企画研修】研修にあたって.pptx</t>
    <phoneticPr fontId="3"/>
  </si>
  <si>
    <t>【AI Native提案企画研修】提案書サンプル.pptx</t>
    <phoneticPr fontId="3"/>
  </si>
  <si>
    <t>【AI Native提案企画研修】個人演習説明.pptx</t>
    <phoneticPr fontId="3"/>
  </si>
  <si>
    <t>はじめに　｜　“Be a social designer”とは</t>
    <phoneticPr fontId="3"/>
  </si>
  <si>
    <t>企画提案のステップ</t>
    <phoneticPr fontId="3"/>
  </si>
  <si>
    <t>STEP①-1　日常の不便を考える</t>
    <phoneticPr fontId="3"/>
  </si>
  <si>
    <t>STEP①-2　課題の深掘り</t>
    <phoneticPr fontId="3"/>
  </si>
  <si>
    <t>STEP①-3　ITアイデアへ落とし込む</t>
    <phoneticPr fontId="3"/>
  </si>
  <si>
    <t>STEP②-1 創出したアイデアに関する調査・確認</t>
    <phoneticPr fontId="3"/>
  </si>
  <si>
    <t>STEP②-2 環境分析</t>
    <phoneticPr fontId="3"/>
  </si>
  <si>
    <t>（参考）PEST分析</t>
    <phoneticPr fontId="3"/>
  </si>
  <si>
    <t>（参考） 3C分析</t>
    <phoneticPr fontId="3"/>
  </si>
  <si>
    <t>（参考） SWOT分析</t>
    <phoneticPr fontId="3"/>
  </si>
  <si>
    <t>STEP③-1 提案書作成</t>
    <phoneticPr fontId="3"/>
  </si>
  <si>
    <t>STEP③-2 プロトタイプ作成</t>
    <phoneticPr fontId="3"/>
  </si>
  <si>
    <t>まとめ</t>
    <phoneticPr fontId="3"/>
  </si>
  <si>
    <t>導入</t>
    <rPh sb="0" eb="2">
      <t>ドウニュウ</t>
    </rPh>
    <phoneticPr fontId="3"/>
  </si>
  <si>
    <t>１．サマリ</t>
    <phoneticPr fontId="23"/>
  </si>
  <si>
    <t>２．背景</t>
    <phoneticPr fontId="23"/>
  </si>
  <si>
    <t>３．現状課題</t>
    <phoneticPr fontId="23"/>
  </si>
  <si>
    <t>４．業界動向・市場分析</t>
    <phoneticPr fontId="23"/>
  </si>
  <si>
    <t>５．市場機会</t>
    <phoneticPr fontId="23"/>
  </si>
  <si>
    <t>６．サービス概要</t>
    <phoneticPr fontId="23"/>
  </si>
  <si>
    <t>７．利用者体験イメージ</t>
    <phoneticPr fontId="23"/>
  </si>
  <si>
    <t>８．事業構成</t>
    <phoneticPr fontId="23"/>
  </si>
  <si>
    <t>９．提供価値</t>
    <phoneticPr fontId="23"/>
  </si>
  <si>
    <t>１０．収益モデル</t>
    <phoneticPr fontId="23"/>
  </si>
  <si>
    <t>１１．リスク・課題</t>
    <phoneticPr fontId="23"/>
  </si>
  <si>
    <t>１２．今後の展望</t>
    <phoneticPr fontId="23"/>
  </si>
  <si>
    <t>演習内容の説明</t>
    <phoneticPr fontId="3"/>
  </si>
  <si>
    <t>【参考】最終発表時の評価基準</t>
    <phoneticPr fontId="3"/>
  </si>
  <si>
    <t>ブロック内発表の実施</t>
    <rPh sb="4" eb="5">
      <t>ナイ</t>
    </rPh>
    <rPh sb="5" eb="7">
      <t>ハッピョウ</t>
    </rPh>
    <rPh sb="8" eb="10">
      <t>ジッシ</t>
    </rPh>
    <phoneticPr fontId="3"/>
  </si>
  <si>
    <t>全体発表</t>
    <rPh sb="0" eb="2">
      <t>ゼンタイ</t>
    </rPh>
    <rPh sb="2" eb="4">
      <t>ハッピョウ</t>
    </rPh>
    <phoneticPr fontId="3"/>
  </si>
  <si>
    <t>個人演習</t>
    <rPh sb="0" eb="2">
      <t>コジン</t>
    </rPh>
    <phoneticPr fontId="3"/>
  </si>
  <si>
    <t>チーム演習</t>
    <phoneticPr fontId="3"/>
  </si>
  <si>
    <t>提案書サンプル</t>
    <rPh sb="0" eb="3">
      <t>テイアンショ</t>
    </rPh>
    <phoneticPr fontId="3"/>
  </si>
  <si>
    <t>2 日目</t>
    <rPh sb="2" eb="3">
      <t>ニチ</t>
    </rPh>
    <rPh sb="3" eb="4">
      <t>メ</t>
    </rPh>
    <phoneticPr fontId="3"/>
  </si>
  <si>
    <t>3 日目</t>
    <rPh sb="2" eb="3">
      <t>ニチ</t>
    </rPh>
    <rPh sb="3" eb="4">
      <t>メ</t>
    </rPh>
    <phoneticPr fontId="3"/>
  </si>
  <si>
    <t>4 日目</t>
    <rPh sb="2" eb="3">
      <t>ニチ</t>
    </rPh>
    <rPh sb="3" eb="4">
      <t>メ</t>
    </rPh>
    <phoneticPr fontId="3"/>
  </si>
  <si>
    <t>5 日目</t>
    <rPh sb="2" eb="3">
      <t>ニチ</t>
    </rPh>
    <rPh sb="3" eb="4">
      <t>メ</t>
    </rPh>
    <phoneticPr fontId="3"/>
  </si>
  <si>
    <t>予備</t>
    <rPh sb="0" eb="2">
      <t>ヨビ</t>
    </rPh>
    <phoneticPr fontId="3"/>
  </si>
  <si>
    <t>発表会（ブロック代表の決定）</t>
    <rPh sb="0" eb="2">
      <t>ハッピョウ</t>
    </rPh>
    <rPh sb="2" eb="3">
      <t>カイ</t>
    </rPh>
    <rPh sb="8" eb="10">
      <t>ダイヒョウ</t>
    </rPh>
    <rPh sb="11" eb="13">
      <t>ケッテイ</t>
    </rPh>
    <phoneticPr fontId="3"/>
  </si>
  <si>
    <t>発表会（最終）</t>
    <rPh sb="2" eb="3">
      <t>カイ</t>
    </rPh>
    <rPh sb="4" eb="6">
      <t>サイシュウ</t>
    </rPh>
    <phoneticPr fontId="3"/>
  </si>
  <si>
    <t>AI-04</t>
    <phoneticPr fontId="3"/>
  </si>
  <si>
    <t>【AI Native提案企画研修】チーム演習説明.pptx</t>
  </si>
  <si>
    <t xml:space="preserve">・AI-02
</t>
    <phoneticPr fontId="3"/>
  </si>
  <si>
    <t>サービスの検討</t>
    <rPh sb="5" eb="7">
      <t>ケントウ</t>
    </rPh>
    <phoneticPr fontId="3"/>
  </si>
  <si>
    <t>サービスの決定</t>
    <rPh sb="5" eb="7">
      <t>ケッテイ</t>
    </rPh>
    <phoneticPr fontId="3"/>
  </si>
  <si>
    <t>成果物の作成</t>
    <rPh sb="0" eb="3">
      <t>セイカブツ</t>
    </rPh>
    <rPh sb="4" eb="6">
      <t>サクセイ</t>
    </rPh>
    <phoneticPr fontId="3"/>
  </si>
  <si>
    <t>成果物の提出</t>
    <rPh sb="0" eb="3">
      <t>セイカブツ</t>
    </rPh>
    <rPh sb="4" eb="6">
      <t>テイシュツ</t>
    </rPh>
    <phoneticPr fontId="3"/>
  </si>
  <si>
    <t>ブロック内発表の説明</t>
    <rPh sb="4" eb="5">
      <t>ナイ</t>
    </rPh>
    <rPh sb="5" eb="7">
      <t>ハッピョウ</t>
    </rPh>
    <rPh sb="8" eb="10">
      <t>セツメイ</t>
    </rPh>
    <phoneticPr fontId="3"/>
  </si>
  <si>
    <t xml:space="preserve">・AI-03
</t>
    <phoneticPr fontId="3"/>
  </si>
  <si>
    <t>演習成果物の説明</t>
    <rPh sb="2" eb="5">
      <t>セイカブツ</t>
    </rPh>
    <phoneticPr fontId="3"/>
  </si>
  <si>
    <t xml:space="preserve">・AI-03
</t>
    <phoneticPr fontId="3"/>
  </si>
  <si>
    <t xml:space="preserve">・AI-03
</t>
    <phoneticPr fontId="3"/>
  </si>
  <si>
    <t xml:space="preserve">・AI-03
</t>
    <phoneticPr fontId="3"/>
  </si>
  <si>
    <t>サービスのブラッシュアップ</t>
    <phoneticPr fontId="3"/>
  </si>
  <si>
    <t xml:space="preserve">・AI-03
</t>
    <phoneticPr fontId="3"/>
  </si>
  <si>
    <t>作成した成果物を指定の場所に納品することを説明する。</t>
    <rPh sb="0" eb="2">
      <t>サクセイ</t>
    </rPh>
    <rPh sb="4" eb="7">
      <t>セイカブツ</t>
    </rPh>
    <rPh sb="8" eb="10">
      <t>シテイ</t>
    </rPh>
    <rPh sb="11" eb="13">
      <t>バショ</t>
    </rPh>
    <rPh sb="14" eb="16">
      <t>ノウヒン</t>
    </rPh>
    <rPh sb="21" eb="23">
      <t>セツメイ</t>
    </rPh>
    <phoneticPr fontId="3"/>
  </si>
  <si>
    <t>決定したサービスについて、企画提案書およびプロトタイプを作成することを説明する。
■企画提案書
　解決したい課題、ターゲットユーザー、提供価値、社会的意義、実現性、市場性などを整理し、サービスの概要をまとめること。
■プロトタイプ
　サービスの利用イメージや主要な画面を作成し、ユーザー体験を具体的に表現すること。
　なお、本演習では実装の完成度ではなく、体験設計を重視する。分かりやすさ、使いやすさ、課題への理解、アイデアの納得感が伝わるように作成すること。</t>
    <rPh sb="35" eb="37">
      <t>セツメイ</t>
    </rPh>
    <phoneticPr fontId="3"/>
  </si>
  <si>
    <t>チームメンバーからのフィードバックを踏まえ、サービス案をブラッシュアップすることを説明する。
フィードバック内容を整理し、必要に応じて課題設定、ターゲットユーザー、提供価値、機能案などを見直すこと。
ブラッシュアップ後、最終的に提案するサービスを決定する。</t>
    <phoneticPr fontId="3"/>
  </si>
  <si>
    <t>サービス案をチーム内で発表し、メンバーからフィードバックを受けることを説明する。
フィードバックでは、以下の観点を中心に意見交換を行うこと。
・提供する価値が明確か
・解決したい課題やターゲットユーザーが適切か
・社会への影響や意義があるか
・実現性や事業性に課題はないか
・市場や競合との差別化ができているか
フィードバックを踏まえ、サービス案をブラッシュアップする。</t>
    <phoneticPr fontId="3"/>
  </si>
  <si>
    <r>
      <t xml:space="preserve">解決したい課題やターゲットユーザーを明確にし、サービス案を検討することを説明する。
なお、サービス案の検討にあたっては、以下の観点を考慮すること。
・提供する価値（顧客や社会にどのような価値を提供できるか）
・社会への影響（NTT DATAとして取り組む意義があるか）
・実現性・コスト・収益性（事業として成立するか）
・市場・競合分析（市場機会があり、競争優位性を確保できるか）
</t>
    </r>
    <r>
      <rPr>
        <sz val="9"/>
        <color rgb="FFFF0000"/>
        <rFont val="Meiryo UI"/>
        <family val="3"/>
        <charset val="128"/>
      </rPr>
      <t xml:space="preserve">
【生成AI利用ルール】
・サービスの初期アイデア創出は、生成AIを利用せず自身で考えること。
・サービス案が作成できた後は、アイデアの検証、調査、市場分析、競合分析、ブラッシュアップを目的として生成AIを利用してよい。
・生成AIから得た情報は鵜呑みにせず、必要に応じて根拠や情報源を確認すること。</t>
    </r>
    <phoneticPr fontId="3"/>
  </si>
  <si>
    <t xml:space="preserve">・AI-03
</t>
    <phoneticPr fontId="3"/>
  </si>
  <si>
    <t xml:space="preserve">成果物の概要について説明する。
■成果物の種類
　・企画提案書
　　PowerPoint形式で作成すること
　・プロトタイプ
　　作成したアプリケーションのソースコード一式を提出すること
　　ルートディレクトリをそのままzip化して提出すること
　・命名規約
　　企画提案書　→　チーム名_企画提案書.pptx
　　プロトタイプ　→　チーム名_プロトタイプ.zip
■提出方法
　・提出方法：Teamの共有フォルダに格納してください。
　・提出先：全体連絡・共通＞02_AIネイティブ提案企画研修＞03_提出先＞02_チーム演習
</t>
    <rPh sb="0" eb="3">
      <t>セイカブツ</t>
    </rPh>
    <rPh sb="18" eb="21">
      <t>セイカブツ</t>
    </rPh>
    <rPh sb="22" eb="24">
      <t>シュルイ</t>
    </rPh>
    <rPh sb="173" eb="175">
      <t>テイシュツ</t>
    </rPh>
    <rPh sb="175" eb="177">
      <t>ホウホウ</t>
    </rPh>
    <phoneticPr fontId="3"/>
  </si>
  <si>
    <t xml:space="preserve">成果物の概要について説明する。
■成果物の種類
　・企画提案書
　　PowerPoint形式で作成すること
　・プロトタイプ
　　作成したアプリケーションのソースコード一式を提出すること
　　ルートディレクトリをそのままzip化して提出すること
　・命名規約
　　企画提案書　→　受講者ID_氏名_企画提案書.pptx
　　プロトタイプ　→　受講者ID_氏名_プロトタイプ.zip
■提出方法
　・提出方法：Teamの共有フォルダに格納してください。
　・提出先：全体連絡・共通＞02_AIネイティブ提案企画研修＞03_提出先＞01_個人演習
</t>
    <rPh sb="0" eb="3">
      <t>セイカブツ</t>
    </rPh>
    <rPh sb="18" eb="21">
      <t>セイカブツ</t>
    </rPh>
    <rPh sb="22" eb="24">
      <t>シュルイ</t>
    </rPh>
    <rPh sb="194" eb="196">
      <t>テイシュツ</t>
    </rPh>
    <rPh sb="196" eb="198">
      <t>ホウホウ</t>
    </rPh>
    <phoneticPr fontId="3"/>
  </si>
  <si>
    <t>評価基準を意識して発表することを説明する。</t>
    <rPh sb="0" eb="2">
      <t>ヒョウカ</t>
    </rPh>
    <rPh sb="2" eb="4">
      <t>キジュン</t>
    </rPh>
    <rPh sb="5" eb="7">
      <t>イシキ</t>
    </rPh>
    <rPh sb="9" eb="11">
      <t>ハッピョウ</t>
    </rPh>
    <rPh sb="16" eb="18">
      <t>セツメイ</t>
    </rPh>
    <phoneticPr fontId="3"/>
  </si>
  <si>
    <t>サービスの決定（チーム）</t>
    <rPh sb="5" eb="7">
      <t>ケッテイ</t>
    </rPh>
    <phoneticPr fontId="3"/>
  </si>
  <si>
    <t>サービスの提案</t>
    <rPh sb="5" eb="7">
      <t>テイアン</t>
    </rPh>
    <phoneticPr fontId="3"/>
  </si>
  <si>
    <t>チーム演習の概要について説明する。
■手順
1. サービスの提案
2. サービスの決定
3. 成果物の作成
4. 成果物の提出</t>
    <rPh sb="31" eb="33">
      <t>テイアン</t>
    </rPh>
    <phoneticPr fontId="3"/>
  </si>
  <si>
    <t xml:space="preserve">個人演習の概要について説明する。
■手順
1. サービスの検討
2. サービスをチーム内でブラッシュアップ
3. サービスの決定
4. 成果物の作成
5. 成果物の提出
</t>
    <rPh sb="0" eb="2">
      <t>コジン</t>
    </rPh>
    <rPh sb="69" eb="72">
      <t>セイカブツ</t>
    </rPh>
    <phoneticPr fontId="3"/>
  </si>
  <si>
    <t>個人演習で作成した成果物をチーム内で提案することを説明する。
■手順
1. 提案順を決定する。
2. 企画提案書およびプロトタイプを用いてサービスを提案する。
3. 提案内容に対する質疑応答を行う。
※手順2～3を参加者ごとに繰り返し実施する。</t>
    <phoneticPr fontId="3"/>
  </si>
  <si>
    <t>チームとして提案するサービスを決定することを説明する。
サービスの決定方法は問わないが、以下のいずれかの方法で決定すること。
・チームメンバーが提案したサービス案の中から、代表となるサービスを選定する。
・複数のサービス案の良い点を組み合わせ、新たなサービスとして再構築する。
決定にあたっては、提供価値、社会的意義、実現性、市場性などの観点を考慮すること。</t>
    <phoneticPr fontId="3"/>
  </si>
  <si>
    <t>決定したサービスについて、チームで企画提案書およびプロトタイプを作成することを説明する。
個人演習で作成した成果物やチーム内での議論を踏まえ、サービス内容をブラッシュアップすること。
また、課題の背景、ターゲットユーザー、提供価値、社会的意義、実現性、市場性などの観点からサービスを深掘りし、チームとしての提案内容を具体化すること。
ブラッシュアップおよび深掘りした内容を企画提案書にまとめるとともに、サービスの利用イメージが伝わるプロトタイプを作成すること。</t>
    <phoneticPr fontId="3"/>
  </si>
  <si>
    <t>発表のリハーサル</t>
    <rPh sb="0" eb="2">
      <t>ハッピョウ</t>
    </rPh>
    <phoneticPr fontId="3"/>
  </si>
  <si>
    <t>各チーム内でリハーサルを行う。</t>
    <rPh sb="0" eb="1">
      <t>カク</t>
    </rPh>
    <rPh sb="4" eb="5">
      <t>ナイ</t>
    </rPh>
    <rPh sb="12" eb="13">
      <t>オコナ</t>
    </rPh>
    <phoneticPr fontId="3"/>
  </si>
  <si>
    <t xml:space="preserve">・AI-01
</t>
    <phoneticPr fontId="3"/>
  </si>
  <si>
    <r>
      <t xml:space="preserve">発表の進め方について説明する。
各チームで作成した企画提案書およびプロトタイプを用いて、サービスの提案を行う。
提案では、解決したい課題、ターゲットユーザー、提供価値、社会的意義、実現性、市場性、およびサービスの利用イメージについて説明すること。
</t>
    </r>
    <r>
      <rPr>
        <sz val="9"/>
        <color rgb="FFFF0000"/>
        <rFont val="Meiryo UI"/>
        <family val="3"/>
        <charset val="128"/>
      </rPr>
      <t>※Teams会議の画面共有機能を利用し、企画提案書やプロトタイプを表示しながら発表することを推奨する。</t>
    </r>
    <phoneticPr fontId="3"/>
  </si>
  <si>
    <t>ブロック代表（選抜チーム）の決定</t>
    <rPh sb="4" eb="6">
      <t>ダイヒョウ</t>
    </rPh>
    <rPh sb="7" eb="9">
      <t>センバツ</t>
    </rPh>
    <rPh sb="14" eb="16">
      <t>ケッテイ</t>
    </rPh>
    <phoneticPr fontId="3"/>
  </si>
  <si>
    <t>Teamsのアンケート機能を利用して、ブロック代表を決定する。</t>
    <rPh sb="11" eb="13">
      <t>キノウ</t>
    </rPh>
    <rPh sb="14" eb="16">
      <t>リヨウ</t>
    </rPh>
    <rPh sb="23" eb="25">
      <t>ダイヒョウ</t>
    </rPh>
    <rPh sb="26" eb="28">
      <t>ケッテイ</t>
    </rPh>
    <phoneticPr fontId="3"/>
  </si>
  <si>
    <t>個人演習で作成した成果物をチーム内で提案することを説明する。
■手順
1. 提案順を決定する。
2. 企画提案書およびプロトタイプを用いてサービスを提案する。
3. 提案内容に対する質疑応答を行う。
※手順2～3をチームごとに繰り返し実施する。</t>
    <phoneticPr fontId="3"/>
  </si>
  <si>
    <t>NTTデータ デジタルソサエティ事業部が掲げる理念であり、ITやデジタル技術を活用して社会課題の解決に貢献し、より良い社会を創り出すことを意味する。
利用者である国民の目線を重視しながら、行政サービスの利便性向上やデジタル化を推進することで、誰一人取り残さない社会の実現を目指している。</t>
    <phoneticPr fontId="3"/>
  </si>
  <si>
    <t>以下の手順で提案演習を実施することを説明する。
・STEP①　アイデアの創出
・STEP②　調査・確認
・STEP③　企画提案書・プロトタイプの作成</t>
    <rPh sb="0" eb="2">
      <t>イカ</t>
    </rPh>
    <rPh sb="3" eb="5">
      <t>テジュン</t>
    </rPh>
    <rPh sb="6" eb="8">
      <t>テイアン</t>
    </rPh>
    <rPh sb="8" eb="10">
      <t>エンシュウ</t>
    </rPh>
    <rPh sb="11" eb="13">
      <t>ジッシ</t>
    </rPh>
    <rPh sb="18" eb="20">
      <t>セツメイ</t>
    </rPh>
    <phoneticPr fontId="3"/>
  </si>
  <si>
    <t>表面的な問題で止めず、「なぜそれが起きているのか？」を繰り返し問いかけることで、根本的な原因を探ることを説明する。</t>
    <rPh sb="52" eb="54">
      <t>セツメイ</t>
    </rPh>
    <phoneticPr fontId="3"/>
  </si>
  <si>
    <t>深掘りした課題をもとに、「どのように解決できるか」を考え、最終的に「ITアイデアへと変換」することを説明する。
以下の順番で整理することが重要である。
1. 誰が困っているのか（対象ユーザーの明確化）
2. 何が不便なのか（具体的な課題の整理）
3. どういう状態が理想なのか（ゴールの設定）
4. ITでどのように支援できるか（手段の検討）
【よくある間違い】
× 最初から「アプリを作ろう」「システム化しよう」と発想してしまう（ITありきの発想）
→ まずは課題解決を優先し、その手段として必要であればITを活用することが重要である。</t>
    <rPh sb="29" eb="32">
      <t>サイシュウテキ</t>
    </rPh>
    <rPh sb="50" eb="52">
      <t>セツメイ</t>
    </rPh>
    <phoneticPr fontId="3"/>
  </si>
  <si>
    <t>まずは「日常の不便」を出発点にすることで、現実的で価値のある改善アイデアにつながることを説明する。
※注意点
自分だけの不便を起点にすると視野が狭くなりやすいため、そのままではサービスとしての価値が限定されてしまいます。
そこで、段階的に視点を広げることで、社会的な意味のある課題へと発展させます。
① 自分の不便（起点）
② 他の人も同じか？（共通性の確認）
③ どの層に共通するか？（対象の整理・分類）
④ 社会課題として成立するか？（抽象化・構造化）
このように段階的に拡張することで、単なる個人の体験ではなく、サービスや仕組みとして解決すべき社会課題として捉えることができる。</t>
    <rPh sb="4" eb="6">
      <t>ニチジョウ</t>
    </rPh>
    <rPh sb="7" eb="9">
      <t>フベン</t>
    </rPh>
    <rPh sb="11" eb="14">
      <t>シュッパツテン</t>
    </rPh>
    <rPh sb="21" eb="24">
      <t>ゲンジツテキ</t>
    </rPh>
    <rPh sb="25" eb="27">
      <t>カチ</t>
    </rPh>
    <rPh sb="30" eb="32">
      <t>カイゼン</t>
    </rPh>
    <rPh sb="44" eb="46">
      <t>セツメイ</t>
    </rPh>
    <rPh sb="52" eb="55">
      <t>チュウイテン</t>
    </rPh>
    <phoneticPr fontId="3"/>
  </si>
  <si>
    <t>1. 既存事例・類似事例の有無
　思いついたアイデアは、すでに世の中で実現されている可能性があるため、ネット検索や生成AIを活用して類似事例を調査する。
　※類似事例がある場合、むしろ「なぜ普及していないのか」「どこに改善余地があるのか」を分析することで、よりオリジナリティのあるアイデアにつなげる。
2. 実現可能性
　どれだけ優れたアイデアであっても、実現できなければ意味がない。
　技術的に可能か、コスト的に現実的かといった観点から、実装可能性を検討する。
3. ビジネスとしての成立性
　サービスとして継続するためには収益性が必要である。
　開発・運用コストに対して、どのように収益を得るのか（課金モデル・広告・BtoBなど）を整理し、ビジネスとして成立するかを検討する。
4. 社会への影響
　“Be a social designer”の視点として、社会全体への影響を考慮する。
　デジタル弱者への配慮、地域格差への影響、雇用への影響など、社会に対してプラスの効果を生み出せるかを確認する。</t>
    <rPh sb="79" eb="81">
      <t>ルイジ</t>
    </rPh>
    <rPh sb="86" eb="88">
      <t>バアイ</t>
    </rPh>
    <phoneticPr fontId="3"/>
  </si>
  <si>
    <t xml:space="preserve">　提案を行うにあたっては、アイデアそのものだけでなく、企業を取り巻く外部環境や、自社の強み・弱みを理解することが重要である。
　これにより、提案の実現性や説得力が高まり、より効果的なアイデア設計につながる。
・外部環境分析
　PEST分析
　3C分析
・内部環境分析
　SWOT分析
</t>
    <rPh sb="118" eb="120">
      <t>ブンセキ</t>
    </rPh>
    <rPh sb="124" eb="126">
      <t>ブンセキ</t>
    </rPh>
    <rPh sb="128" eb="130">
      <t>ナイブ</t>
    </rPh>
    <rPh sb="130" eb="132">
      <t>カンキョウ</t>
    </rPh>
    <rPh sb="132" eb="134">
      <t>ブンセキ</t>
    </rPh>
    <rPh sb="140" eb="142">
      <t>ブンセキ</t>
    </rPh>
    <phoneticPr fontId="3"/>
  </si>
  <si>
    <t>PEST分析は、企業を取り巻く「社会の変化」を4つの観点から整理するフレームワークである。
政治・経済・社会・技術といった、自社ではコントロールできない外部環境（マクロ環境）を把握することを目的としている。
これにより、今後の事業環境の変化や機会・リスクを整理することができる。</t>
    <phoneticPr fontId="3"/>
  </si>
  <si>
    <t>3C分析は、企業を取り巻く関係者を「顧客（Customer）」「競合（Competitor）」「自社（Company）」の3つの視点で整理するフレームワークである。
市場や環境を多面的に捉えることで、「誰のどんな課題を、自社のどの強みで解決できるか」を明確にすることを目的としている。</t>
    <phoneticPr fontId="3"/>
  </si>
  <si>
    <t>SWOT分析は、企業の現状を「強み（Strength）」「弱み（Weakness）」「機会（Opportunity）」「脅威（Threat）」の4つの視点で整理するフレームワークである。
内部環境と外部環境をあわせて整理することで、自社の強みをどのように活かし、変化や課題にどう対応するかを考えることを目的としている。</t>
    <phoneticPr fontId="3"/>
  </si>
  <si>
    <t>提案書の必須要素を説明する。
・対象とする企業（対象企業があれば）
・提案内容
・提供する価値（顧客・社会へ提供する価値）
・社会への影響（NTT DATAとしてやる意義があるか）
・実現性・コスト・収益（事業として成立するか）
・市場・競合分析（チャンスがあるか）</t>
    <rPh sb="0" eb="3">
      <t>テイアンショ</t>
    </rPh>
    <rPh sb="4" eb="6">
      <t>ヒッス</t>
    </rPh>
    <rPh sb="6" eb="8">
      <t>ヨウソ</t>
    </rPh>
    <rPh sb="9" eb="11">
      <t>セツメイ</t>
    </rPh>
    <phoneticPr fontId="3"/>
  </si>
  <si>
    <t>プロトタイプの目的を説明する。
実際の利用イメージやユーザー体験を可視化するために、プロトタイプを作成する。
プロトタイプとは、完成したシステムではなく「サービス体験を検証するための試作品」であり、「このサービスがあったらどのような体験になるのか」を具体的に伝えるためのモックである。
※なお本プロトタイプは、生成AIを活用して作成することを前提とする</t>
    <rPh sb="7" eb="9">
      <t>モクテキ</t>
    </rPh>
    <rPh sb="10" eb="12">
      <t>セツメイ</t>
    </rPh>
    <phoneticPr fontId="3"/>
  </si>
  <si>
    <t>以下の内容を説明する。
IT人材に求められるのは、単なる技術知識だけではない。
実際の業務では、課題発見力・多面的な視点・社会への理解・利用者視点といった能力が強く求められる。
本研修を通じて重要なのは、「技術をどう使うか」ではなく、「誰のどんな課題を、どのような価値に変えるのか」という視点である。
その結果として、社会に新たな体験や価値を生み出すことができるIT人材を目指してほしい。</t>
    <rPh sb="0" eb="2">
      <t>イカ</t>
    </rPh>
    <rPh sb="3" eb="5">
      <t>ナイヨウ</t>
    </rPh>
    <rPh sb="6" eb="8">
      <t>セツメイ</t>
    </rPh>
    <phoneticPr fontId="3"/>
  </si>
  <si>
    <t>現状課題（What＝具体的なこまりごと）を説明する。</t>
    <rPh sb="10" eb="13">
      <t>グタイテキ</t>
    </rPh>
    <rPh sb="21" eb="23">
      <t>セツメイ</t>
    </rPh>
    <phoneticPr fontId="3"/>
  </si>
  <si>
    <t>背景（Why＝なぜ？）を説明する。</t>
    <rPh sb="12" eb="14">
      <t>セツメイ</t>
    </rPh>
    <phoneticPr fontId="3"/>
  </si>
  <si>
    <t>提案内容と提案先企業が記載されていることを説明する。</t>
    <rPh sb="0" eb="2">
      <t>テイアン</t>
    </rPh>
    <rPh sb="2" eb="4">
      <t>ナイヨウ</t>
    </rPh>
    <rPh sb="5" eb="7">
      <t>テイアン</t>
    </rPh>
    <rPh sb="7" eb="8">
      <t>サキ</t>
    </rPh>
    <rPh sb="8" eb="10">
      <t>キギョウ</t>
    </rPh>
    <rPh sb="11" eb="13">
      <t>キサイ</t>
    </rPh>
    <rPh sb="21" eb="23">
      <t>セツメイ</t>
    </rPh>
    <phoneticPr fontId="3"/>
  </si>
  <si>
    <t>サービスの事業構成（どういう要素で成り立たせるか：仕組み・構造）を説明する。</t>
    <rPh sb="5" eb="7">
      <t>ジギョウ</t>
    </rPh>
    <rPh sb="7" eb="9">
      <t>コウセイ</t>
    </rPh>
    <rPh sb="33" eb="35">
      <t>セツメイ</t>
    </rPh>
    <phoneticPr fontId="3"/>
  </si>
  <si>
    <t>サービスの提供価値について説明する。
※Before / After フレームを利用するとわかりやすい。</t>
    <rPh sb="13" eb="15">
      <t>セツメイ</t>
    </rPh>
    <rPh sb="40" eb="42">
      <t>リヨウ</t>
    </rPh>
    <phoneticPr fontId="3"/>
  </si>
  <si>
    <t xml:space="preserve">・AI-02
</t>
    <phoneticPr fontId="3"/>
  </si>
  <si>
    <t xml:space="preserve">・AI-02
</t>
    <phoneticPr fontId="3"/>
  </si>
  <si>
    <t xml:space="preserve">リスクと課題について説明する。
リスク：うまくいかない可能性・障害要因
課題：解決すべき問題そのもの
対策：課題に対する、解決策
</t>
    <rPh sb="10" eb="12">
      <t>セツメイ</t>
    </rPh>
    <rPh sb="51" eb="53">
      <t>タイサク</t>
    </rPh>
    <rPh sb="54" eb="56">
      <t>カダイ</t>
    </rPh>
    <rPh sb="57" eb="58">
      <t>タイ</t>
    </rPh>
    <rPh sb="61" eb="64">
      <t>カイケツサク</t>
    </rPh>
    <phoneticPr fontId="3"/>
  </si>
  <si>
    <t>収益モデル（そのサービスでどうやってお金を得て継続するか）について説明する。
・誰からお金を得るか（課金対象）
・何に対してお金をもらうか（課金ポイント）
・どういう仕組みで継続収益になるか</t>
    <rPh sb="33" eb="35">
      <t>セツメイ</t>
    </rPh>
    <phoneticPr fontId="3"/>
  </si>
  <si>
    <t xml:space="preserve">・AI-02
</t>
    <phoneticPr fontId="3"/>
  </si>
  <si>
    <t>サービスの利用者体験イメージを説明する。
ペルソナ：サービスを使う代表的なユーザー像を具体的に作ったもの
ストーリーボード：ユーザーがサービスを使う流れを物語（ストーリー）形式で描いたもの</t>
    <rPh sb="5" eb="7">
      <t>リヨウ</t>
    </rPh>
    <rPh sb="7" eb="8">
      <t>シャ</t>
    </rPh>
    <rPh sb="8" eb="10">
      <t>タイケン</t>
    </rPh>
    <rPh sb="15" eb="17">
      <t>セツメイ</t>
    </rPh>
    <phoneticPr fontId="3"/>
  </si>
  <si>
    <t>周囲の環境変化や市場の動きがどのように影響するかを分析していることを説明する。
・社会動向：社会全体で起きている大きな変化
・業界動向：対象となる業界内で起きている変化
・競合他社動向：同じ領域でサービスを提供している企業の動き</t>
    <rPh sb="25" eb="27">
      <t>ブンセキセツメイ</t>
    </rPh>
    <phoneticPr fontId="3"/>
  </si>
  <si>
    <t>現状課題を解決するためのサービス概要（サービスの全体像）を説明する。
※利用者目線のみ</t>
    <rPh sb="0" eb="2">
      <t>ゲンジョウ</t>
    </rPh>
    <rPh sb="2" eb="4">
      <t>カダイ</t>
    </rPh>
    <rPh sb="5" eb="7">
      <t>カイケツ</t>
    </rPh>
    <rPh sb="16" eb="18">
      <t>ガイヨウ</t>
    </rPh>
    <rPh sb="29" eb="31">
      <t>セツメイ</t>
    </rPh>
    <rPh sb="36" eb="39">
      <t>リヨウシャ</t>
    </rPh>
    <rPh sb="39" eb="41">
      <t>メセン</t>
    </rPh>
    <phoneticPr fontId="3"/>
  </si>
  <si>
    <t>サービスの今後の展望について説明する。</t>
    <rPh sb="5" eb="7">
      <t>コンゴ</t>
    </rPh>
    <rPh sb="8" eb="10">
      <t>テンボウ</t>
    </rPh>
    <rPh sb="14" eb="16">
      <t>セツメイ</t>
    </rPh>
    <phoneticPr fontId="3"/>
  </si>
  <si>
    <t>市場機会について説明する。
3C分析により、顧客ニーズ・競合状況・自社の強みを整理し、市場機会（まだ十分に満たされていないニーズが存在し、価値提供できる可能性がある領域）を明らかにしている。</t>
    <rPh sb="0" eb="2">
      <t>シジョウ</t>
    </rPh>
    <rPh sb="2" eb="4">
      <t>キカイ</t>
    </rPh>
    <rPh sb="8" eb="10">
      <t>セツメイ</t>
    </rPh>
    <phoneticPr fontId="3"/>
  </si>
  <si>
    <t>ー</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</si>
</sst>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u/>
      <sz val="11"/>
      <color theme="10"/>
      <name val="ＭＳ Ｐゴシック"/>
      <family val="3"/>
      <charset val="128"/>
    </font>
    <font>
      <sz val="9"/>
      <name val="Meiryo UI"/>
      <family val="3"/>
      <charset val="128"/>
    </font>
    <font>
      <b/>
      <sz val="16"/>
      <color indexed="9"/>
      <name val="Meiryo UI"/>
      <family val="3"/>
      <charset val="128"/>
    </font>
    <font>
      <b/>
      <sz val="9"/>
      <color indexed="9"/>
      <name val="Meiryo UI"/>
      <family val="3"/>
      <charset val="128"/>
    </font>
    <font>
      <b/>
      <sz val="11"/>
      <color indexed="9"/>
      <name val="Meiryo UI"/>
      <family val="3"/>
      <charset val="128"/>
    </font>
    <font>
      <sz val="11"/>
      <name val="Meiryo UI"/>
      <family val="3"/>
      <charset val="128"/>
    </font>
    <font>
      <b/>
      <sz val="9"/>
      <color theme="0"/>
      <name val="Meiryo UI"/>
      <family val="3"/>
      <charset val="128"/>
    </font>
    <font>
      <b/>
      <sz val="9"/>
      <name val="Meiryo UI"/>
      <family val="3"/>
      <charset val="128"/>
    </font>
    <font>
      <sz val="9"/>
      <color theme="0"/>
      <name val="Meiryo UI"/>
      <family val="3"/>
      <charset val="128"/>
    </font>
    <font>
      <b/>
      <sz val="20"/>
      <color indexed="9"/>
      <name val="Meiryo UI"/>
      <family val="3"/>
      <charset val="128"/>
    </font>
    <font>
      <sz val="12"/>
      <color theme="0"/>
      <name val="Meiryo UI"/>
      <family val="3"/>
      <charset val="128"/>
    </font>
    <font>
      <sz val="9"/>
      <color indexed="9"/>
      <name val="Meiryo UI"/>
      <family val="3"/>
      <charset val="128"/>
    </font>
    <font>
      <sz val="9"/>
      <color theme="1"/>
      <name val="Meiryo UI"/>
      <family val="3"/>
      <charset val="128"/>
    </font>
    <font>
      <b/>
      <sz val="12"/>
      <color theme="0"/>
      <name val="Meiryo UI"/>
      <family val="3"/>
      <charset val="128"/>
    </font>
    <font>
      <sz val="9"/>
      <color rgb="FFFF0000"/>
      <name val="Meiryo UI"/>
      <family val="3"/>
      <charset val="128"/>
    </font>
    <font>
      <b/>
      <sz val="9"/>
      <color indexed="81"/>
      <name val="MS P ゴシック"/>
      <family val="3"/>
      <charset val="128"/>
    </font>
    <font>
      <sz val="14"/>
      <name val="Meiryo UI"/>
      <family val="3"/>
      <charset val="128"/>
    </font>
    <font>
      <sz val="16"/>
      <name val="Meiryo UI"/>
      <family val="3"/>
      <charset val="128"/>
    </font>
    <font>
      <b/>
      <sz val="11"/>
      <name val="ＭＳ Ｐゴシック"/>
      <family val="3"/>
      <charset val="128"/>
    </font>
    <font>
      <sz val="6"/>
      <name val="ＭＳ Ｐゴシック"/>
      <family val="2"/>
      <charset val="128"/>
      <scheme val="minor"/>
    </font>
  </fonts>
  <fills count="11">
    <fill>
      <patternFill patternType="none"/>
    </fill>
    <fill>
      <patternFill patternType="gray125"/>
    </fill>
    <fill>
      <patternFill patternType="solid">
        <fgColor indexed="18"/>
        <bgColor indexed="64"/>
      </patternFill>
    </fill>
    <fill>
      <patternFill patternType="solid">
        <fgColor rgb="FF333399"/>
        <bgColor indexed="64"/>
      </patternFill>
    </fill>
    <fill>
      <patternFill patternType="solid">
        <fgColor theme="6" tint="0.79998168889431442"/>
        <bgColor indexed="64"/>
      </patternFill>
    </fill>
    <fill>
      <patternFill patternType="solid">
        <fgColor rgb="FFFFCCFF"/>
        <bgColor indexed="64"/>
      </patternFill>
    </fill>
    <fill>
      <patternFill patternType="solid">
        <fgColor theme="0"/>
        <bgColor indexed="64"/>
      </patternFill>
    </fill>
    <fill>
      <patternFill patternType="solid">
        <fgColor rgb="FFEBF1DE"/>
        <bgColor indexed="64"/>
      </patternFill>
    </fill>
    <fill>
      <patternFill patternType="solid">
        <fgColor theme="0" tint="-0.14999847407452621"/>
        <bgColor indexed="64"/>
      </patternFill>
    </fill>
    <fill>
      <patternFill patternType="solid">
        <fgColor rgb="FFC5D9F1"/>
        <bgColor indexed="64"/>
      </patternFill>
    </fill>
    <fill>
      <patternFill patternType="solid">
        <fgColor rgb="FFFFFF99"/>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medium">
        <color indexed="64"/>
      </bottom>
      <diagonal/>
    </border>
    <border>
      <left style="thin">
        <color auto="1"/>
      </left>
      <right/>
      <top/>
      <bottom/>
      <diagonal/>
    </border>
    <border>
      <left style="thin">
        <color auto="1"/>
      </left>
      <right/>
      <top style="thin">
        <color auto="1"/>
      </top>
      <bottom/>
      <diagonal/>
    </border>
    <border>
      <left style="thin">
        <color auto="1"/>
      </left>
      <right/>
      <top/>
      <bottom style="thin">
        <color auto="1"/>
      </bottom>
      <diagonal/>
    </border>
  </borders>
  <cellStyleXfs count="4">
    <xf numFmtId="0" fontId="0" fillId="0" borderId="0">
      <alignment vertical="center"/>
    </xf>
    <xf numFmtId="0" fontId="2" fillId="0" borderId="0">
      <alignment vertical="center"/>
    </xf>
    <xf numFmtId="0" fontId="1" fillId="0" borderId="0">
      <alignment vertical="center"/>
    </xf>
    <xf numFmtId="0" fontId="4" fillId="0" borderId="0" applyNumberFormat="0" applyFill="0" applyBorder="0" applyAlignment="0" applyProtection="0">
      <alignment vertical="center"/>
    </xf>
  </cellStyleXfs>
  <cellXfs count="135">
    <xf numFmtId="0" fontId="0" fillId="0" borderId="0" xfId="0">
      <alignment vertical="center"/>
    </xf>
    <xf numFmtId="0" fontId="5" fillId="0" borderId="0" xfId="0" applyFont="1">
      <alignment vertical="center"/>
    </xf>
    <xf numFmtId="0" fontId="6" fillId="3" borderId="0" xfId="0" applyFont="1" applyFill="1">
      <alignment vertical="center"/>
    </xf>
    <xf numFmtId="0" fontId="7" fillId="3" borderId="0" xfId="0" applyFont="1" applyFill="1">
      <alignment vertical="center"/>
    </xf>
    <xf numFmtId="0" fontId="7" fillId="3" borderId="0" xfId="0" applyFont="1" applyFill="1" applyAlignment="1">
      <alignment horizontal="center" vertical="center"/>
    </xf>
    <xf numFmtId="0" fontId="8" fillId="3" borderId="0" xfId="0" applyFont="1" applyFill="1">
      <alignment vertical="center"/>
    </xf>
    <xf numFmtId="0" fontId="9" fillId="0" borderId="0" xfId="0" applyFont="1">
      <alignment vertical="center"/>
    </xf>
    <xf numFmtId="0" fontId="7" fillId="0" borderId="0" xfId="0" applyFont="1">
      <alignment vertical="center"/>
    </xf>
    <xf numFmtId="0" fontId="7" fillId="0" borderId="0" xfId="0" applyFont="1" applyAlignment="1">
      <alignment horizontal="center" vertical="center"/>
    </xf>
    <xf numFmtId="0" fontId="8" fillId="0" borderId="0" xfId="0" applyFont="1">
      <alignment vertical="center"/>
    </xf>
    <xf numFmtId="0" fontId="5" fillId="0" borderId="0" xfId="0" applyFont="1" applyAlignment="1">
      <alignment horizontal="center" vertical="center"/>
    </xf>
    <xf numFmtId="0" fontId="5" fillId="0" borderId="0" xfId="0" applyFont="1" applyAlignment="1">
      <alignment vertical="top"/>
    </xf>
    <xf numFmtId="0" fontId="5" fillId="4" borderId="1" xfId="0" applyFont="1" applyFill="1" applyBorder="1" applyAlignment="1">
      <alignment horizontal="left" vertical="top"/>
    </xf>
    <xf numFmtId="0" fontId="13" fillId="0" borderId="0" xfId="0" applyFont="1" applyAlignment="1">
      <alignment horizontal="center" vertical="center"/>
    </xf>
    <xf numFmtId="0" fontId="13" fillId="0" borderId="0" xfId="0" applyFont="1" applyAlignment="1">
      <alignment horizontal="right" vertical="center"/>
    </xf>
    <xf numFmtId="0" fontId="5" fillId="0" borderId="0" xfId="0" applyFont="1" applyAlignment="1">
      <alignment horizontal="right" vertical="center"/>
    </xf>
    <xf numFmtId="20" fontId="5" fillId="0" borderId="1" xfId="0" applyNumberFormat="1" applyFont="1" applyBorder="1" applyAlignment="1">
      <alignment horizontal="right" vertical="top"/>
    </xf>
    <xf numFmtId="0" fontId="8" fillId="3" borderId="0" xfId="0" applyFont="1" applyFill="1" applyAlignment="1">
      <alignment horizontal="center" vertical="center"/>
    </xf>
    <xf numFmtId="0" fontId="8" fillId="0" borderId="0" xfId="0" applyFont="1" applyAlignment="1">
      <alignment horizontal="center" vertical="center"/>
    </xf>
    <xf numFmtId="0" fontId="5" fillId="5" borderId="1" xfId="0" applyFont="1" applyFill="1" applyBorder="1" applyAlignment="1">
      <alignment horizontal="left" vertical="top" wrapText="1"/>
    </xf>
    <xf numFmtId="0" fontId="11" fillId="0" borderId="0" xfId="0" applyFont="1" applyAlignment="1">
      <alignment horizontal="left" vertical="center"/>
    </xf>
    <xf numFmtId="0" fontId="5" fillId="0" borderId="0" xfId="0" applyFont="1" applyAlignment="1">
      <alignment horizontal="center" vertical="center" wrapText="1"/>
    </xf>
    <xf numFmtId="0" fontId="5" fillId="0" borderId="11" xfId="0" applyFont="1" applyBorder="1">
      <alignment vertical="center"/>
    </xf>
    <xf numFmtId="0" fontId="18" fillId="0" borderId="0" xfId="0" applyFont="1" applyAlignment="1">
      <alignment horizontal="left" vertical="center"/>
    </xf>
    <xf numFmtId="0" fontId="15" fillId="2" borderId="1" xfId="0" applyFont="1" applyFill="1" applyBorder="1" applyAlignment="1">
      <alignment horizontal="center" vertical="center"/>
    </xf>
    <xf numFmtId="0" fontId="6" fillId="3" borderId="0" xfId="0" applyFont="1" applyFill="1" applyAlignment="1">
      <alignment horizontal="left" vertical="center"/>
    </xf>
    <xf numFmtId="0" fontId="8" fillId="0" borderId="0" xfId="0" applyFont="1" applyAlignment="1">
      <alignment horizontal="left" vertical="center"/>
    </xf>
    <xf numFmtId="0" fontId="5" fillId="0" borderId="0" xfId="0" applyFont="1" applyAlignment="1">
      <alignment horizontal="left" vertical="center"/>
    </xf>
    <xf numFmtId="0" fontId="12" fillId="3" borderId="1" xfId="0" applyFont="1" applyFill="1" applyBorder="1" applyAlignment="1">
      <alignment horizontal="center" vertical="center" wrapText="1"/>
    </xf>
    <xf numFmtId="0" fontId="20" fillId="0" borderId="12" xfId="3" applyFont="1" applyFill="1" applyBorder="1" applyAlignment="1">
      <alignment vertical="center" wrapText="1"/>
    </xf>
    <xf numFmtId="0" fontId="20" fillId="0" borderId="0" xfId="3" applyFont="1" applyFill="1" applyBorder="1" applyAlignment="1">
      <alignment vertical="center" wrapText="1"/>
    </xf>
    <xf numFmtId="0" fontId="21" fillId="0" borderId="0" xfId="0" applyFont="1">
      <alignment vertical="center"/>
    </xf>
    <xf numFmtId="0" fontId="6" fillId="3" borderId="0" xfId="0" applyFont="1" applyFill="1" applyAlignment="1">
      <alignment horizontal="center" vertical="center"/>
    </xf>
    <xf numFmtId="0" fontId="10" fillId="3" borderId="1" xfId="0" applyFont="1" applyFill="1" applyBorder="1" applyAlignment="1">
      <alignment horizontal="center" vertical="center"/>
    </xf>
    <xf numFmtId="0" fontId="5" fillId="0" borderId="1" xfId="0" applyFont="1" applyBorder="1" applyAlignment="1">
      <alignment horizontal="left" vertical="center" wrapText="1"/>
    </xf>
    <xf numFmtId="0" fontId="5" fillId="6" borderId="1" xfId="0" applyFont="1" applyFill="1" applyBorder="1">
      <alignment vertical="center"/>
    </xf>
    <xf numFmtId="0" fontId="5" fillId="0" borderId="1" xfId="0" applyFont="1" applyBorder="1">
      <alignment vertical="center"/>
    </xf>
    <xf numFmtId="20" fontId="5" fillId="0" borderId="8" xfId="0" applyNumberFormat="1" applyFont="1" applyBorder="1" applyAlignment="1">
      <alignment horizontal="right" vertical="top"/>
    </xf>
    <xf numFmtId="20" fontId="5" fillId="0" borderId="10" xfId="0" applyNumberFormat="1" applyFont="1" applyBorder="1" applyAlignment="1">
      <alignment horizontal="right" vertical="top"/>
    </xf>
    <xf numFmtId="20" fontId="5" fillId="0" borderId="9" xfId="0" applyNumberFormat="1" applyFont="1" applyBorder="1" applyAlignment="1">
      <alignment horizontal="right" vertical="top"/>
    </xf>
    <xf numFmtId="20" fontId="16" fillId="0" borderId="8" xfId="0" applyNumberFormat="1" applyFont="1" applyBorder="1" applyAlignment="1">
      <alignment vertical="top"/>
    </xf>
    <xf numFmtId="20" fontId="16" fillId="0" borderId="9" xfId="0" applyNumberFormat="1" applyFont="1" applyBorder="1" applyAlignment="1">
      <alignment vertical="top"/>
    </xf>
    <xf numFmtId="20" fontId="16" fillId="0" borderId="10" xfId="0" applyNumberFormat="1" applyFont="1" applyBorder="1" applyAlignment="1">
      <alignment vertical="top"/>
    </xf>
    <xf numFmtId="0" fontId="18" fillId="7" borderId="1" xfId="0" applyFont="1" applyFill="1" applyBorder="1" applyAlignment="1">
      <alignment horizontal="left" vertical="top" wrapText="1"/>
    </xf>
    <xf numFmtId="0" fontId="5" fillId="0" borderId="5" xfId="0" applyFont="1" applyBorder="1">
      <alignment vertical="center"/>
    </xf>
    <xf numFmtId="0" fontId="5" fillId="0" borderId="3" xfId="0" applyFont="1" applyBorder="1">
      <alignment vertical="center"/>
    </xf>
    <xf numFmtId="20" fontId="5" fillId="4" borderId="1" xfId="0" applyNumberFormat="1" applyFont="1" applyFill="1" applyBorder="1" applyAlignment="1">
      <alignment horizontal="right" vertical="top"/>
    </xf>
    <xf numFmtId="0" fontId="9" fillId="0" borderId="0" xfId="0" applyFont="1" applyAlignment="1">
      <alignment horizontal="center" vertical="center"/>
    </xf>
    <xf numFmtId="20" fontId="5" fillId="4" borderId="1" xfId="0" applyNumberFormat="1" applyFont="1" applyFill="1" applyBorder="1" applyAlignment="1">
      <alignment horizontal="center" vertical="top"/>
    </xf>
    <xf numFmtId="0" fontId="5" fillId="5" borderId="1" xfId="0" applyFont="1" applyFill="1" applyBorder="1" applyAlignment="1">
      <alignment horizontal="center" vertical="top" wrapText="1"/>
    </xf>
    <xf numFmtId="0" fontId="5" fillId="4" borderId="1" xfId="0" applyFont="1" applyFill="1" applyBorder="1" applyAlignment="1">
      <alignment horizontal="left" vertical="top" wrapText="1"/>
    </xf>
    <xf numFmtId="20" fontId="16" fillId="0" borderId="12" xfId="0" applyNumberFormat="1" applyFont="1" applyBorder="1" applyAlignment="1">
      <alignment vertical="top"/>
    </xf>
    <xf numFmtId="20" fontId="5" fillId="0" borderId="12" xfId="0" applyNumberFormat="1" applyFont="1" applyBorder="1" applyAlignment="1">
      <alignment horizontal="right" vertical="top"/>
    </xf>
    <xf numFmtId="20" fontId="16" fillId="0" borderId="12" xfId="0" applyNumberFormat="1" applyFont="1" applyBorder="1" applyAlignment="1">
      <alignment horizontal="right" vertical="top"/>
    </xf>
    <xf numFmtId="20" fontId="16" fillId="0" borderId="14" xfId="0" applyNumberFormat="1" applyFont="1" applyBorder="1" applyAlignment="1">
      <alignment vertical="top"/>
    </xf>
    <xf numFmtId="0" fontId="5" fillId="5" borderId="0" xfId="3" applyFont="1" applyFill="1" applyBorder="1" applyAlignment="1">
      <alignment horizontal="left" vertical="top" wrapText="1"/>
    </xf>
    <xf numFmtId="20" fontId="5" fillId="5" borderId="1" xfId="0" applyNumberFormat="1" applyFont="1" applyFill="1" applyBorder="1" applyAlignment="1">
      <alignment horizontal="right" vertical="top" wrapText="1"/>
    </xf>
    <xf numFmtId="20" fontId="5" fillId="0" borderId="13" xfId="0" applyNumberFormat="1" applyFont="1" applyBorder="1" applyAlignment="1">
      <alignment horizontal="right" vertical="top"/>
    </xf>
    <xf numFmtId="20" fontId="5" fillId="0" borderId="8" xfId="0" applyNumberFormat="1" applyFont="1" applyBorder="1" applyAlignment="1">
      <alignment vertical="top"/>
    </xf>
    <xf numFmtId="0" fontId="5" fillId="0" borderId="1" xfId="0" applyFont="1" applyBorder="1" applyAlignment="1">
      <alignment horizontal="left" vertical="center"/>
    </xf>
    <xf numFmtId="20" fontId="5" fillId="0" borderId="10" xfId="0" applyNumberFormat="1" applyFont="1" applyBorder="1" applyAlignment="1">
      <alignment vertical="top"/>
    </xf>
    <xf numFmtId="0" fontId="5" fillId="4" borderId="8" xfId="0" applyFont="1" applyFill="1" applyBorder="1" applyAlignment="1">
      <alignment vertical="top"/>
    </xf>
    <xf numFmtId="0" fontId="5" fillId="4" borderId="9" xfId="0" applyFont="1" applyFill="1" applyBorder="1" applyAlignment="1">
      <alignment vertical="top"/>
    </xf>
    <xf numFmtId="0" fontId="5" fillId="5" borderId="1" xfId="0" applyFont="1" applyFill="1" applyBorder="1" applyAlignment="1">
      <alignment vertical="center" wrapText="1"/>
    </xf>
    <xf numFmtId="0" fontId="5" fillId="0" borderId="8" xfId="0" applyFont="1" applyBorder="1" applyAlignment="1">
      <alignment horizontal="left" vertical="top"/>
    </xf>
    <xf numFmtId="0" fontId="5" fillId="0" borderId="10" xfId="0" applyFont="1" applyBorder="1" applyAlignment="1">
      <alignment horizontal="left" vertical="top"/>
    </xf>
    <xf numFmtId="0" fontId="5" fillId="0" borderId="9" xfId="0" applyFont="1" applyBorder="1" applyAlignment="1">
      <alignment horizontal="left" vertical="top"/>
    </xf>
    <xf numFmtId="0" fontId="22" fillId="0" borderId="0" xfId="0" applyFont="1">
      <alignment vertical="center"/>
    </xf>
    <xf numFmtId="0" fontId="0" fillId="8" borderId="0" xfId="0" applyFill="1">
      <alignment vertical="center"/>
    </xf>
    <xf numFmtId="0" fontId="13" fillId="3" borderId="0" xfId="0" applyFont="1" applyFill="1" applyAlignment="1">
      <alignment horizontal="center" vertical="center"/>
    </xf>
    <xf numFmtId="0" fontId="13" fillId="3" borderId="0" xfId="0" applyFont="1" applyFill="1" applyAlignment="1">
      <alignment horizontal="center" vertical="center"/>
    </xf>
    <xf numFmtId="0" fontId="14" fillId="3" borderId="6" xfId="0" applyFont="1" applyFill="1" applyBorder="1" applyAlignment="1">
      <alignment horizontal="center" vertical="center"/>
    </xf>
    <xf numFmtId="0" fontId="14" fillId="3" borderId="7" xfId="0" applyFont="1" applyFill="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14" fillId="3" borderId="0" xfId="0" applyFont="1" applyFill="1" applyAlignment="1">
      <alignment horizontal="center" vertical="center"/>
    </xf>
    <xf numFmtId="0" fontId="12" fillId="3" borderId="1" xfId="0" applyFont="1" applyFill="1" applyBorder="1" applyAlignment="1">
      <alignment horizontal="center" vertical="center" wrapText="1"/>
    </xf>
    <xf numFmtId="0" fontId="12" fillId="3" borderId="1" xfId="0" applyFont="1" applyFill="1" applyBorder="1" applyAlignment="1">
      <alignment horizontal="center" vertical="center"/>
    </xf>
    <xf numFmtId="0" fontId="5" fillId="5" borderId="3" xfId="0" applyFont="1" applyFill="1" applyBorder="1" applyAlignment="1">
      <alignment horizontal="left" vertical="top" wrapText="1"/>
    </xf>
    <xf numFmtId="0" fontId="5" fillId="5" borderId="4" xfId="0" applyFont="1" applyFill="1" applyBorder="1" applyAlignment="1">
      <alignment horizontal="left" vertical="top" wrapText="1"/>
    </xf>
    <xf numFmtId="0" fontId="5" fillId="5" borderId="5" xfId="0" applyFont="1" applyFill="1" applyBorder="1" applyAlignment="1">
      <alignment horizontal="left" vertical="top" wrapText="1"/>
    </xf>
    <xf numFmtId="0" fontId="17" fillId="3" borderId="2" xfId="0" applyFont="1" applyFill="1" applyBorder="1" applyAlignment="1">
      <alignment horizontal="center" vertical="center"/>
    </xf>
    <xf numFmtId="0" fontId="20" fillId="0" borderId="1" xfId="3" applyFont="1" applyFill="1" applyBorder="1" applyAlignment="1">
      <alignment horizontal="left" vertical="center" wrapText="1"/>
    </xf>
    <xf numFmtId="0" fontId="10" fillId="3" borderId="1" xfId="0" applyFont="1" applyFill="1" applyBorder="1" applyAlignment="1">
      <alignment horizontal="center" vertical="center"/>
    </xf>
    <xf numFmtId="0" fontId="12" fillId="3" borderId="8" xfId="0" applyFont="1" applyFill="1" applyBorder="1" applyAlignment="1">
      <alignment horizontal="center" vertical="center" wrapText="1"/>
    </xf>
    <xf numFmtId="0" fontId="12" fillId="3" borderId="9" xfId="0" applyFont="1" applyFill="1" applyBorder="1" applyAlignment="1">
      <alignment horizontal="center" vertical="center" wrapText="1"/>
    </xf>
    <xf numFmtId="0" fontId="5" fillId="4" borderId="3" xfId="0" applyFont="1" applyFill="1" applyBorder="1" applyAlignment="1">
      <alignment horizontal="left" vertical="top" wrapText="1"/>
    </xf>
    <xf numFmtId="0" fontId="5" fillId="4" borderId="4" xfId="0" applyFont="1" applyFill="1" applyBorder="1" applyAlignment="1">
      <alignment horizontal="left" vertical="top" wrapText="1"/>
    </xf>
    <xf numFmtId="0" fontId="5" fillId="4" borderId="5" xfId="0" applyFont="1" applyFill="1" applyBorder="1" applyAlignment="1">
      <alignment horizontal="left" vertical="top" wrapText="1"/>
    </xf>
    <xf numFmtId="0" fontId="12" fillId="3" borderId="3"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20" fillId="0" borderId="1" xfId="3" applyFont="1" applyFill="1" applyBorder="1" applyAlignment="1">
      <alignment vertical="center" wrapText="1"/>
    </xf>
    <xf numFmtId="0" fontId="5" fillId="9" borderId="1" xfId="0" applyFont="1" applyFill="1" applyBorder="1" applyAlignment="1">
      <alignment horizontal="left" vertical="top" wrapText="1"/>
    </xf>
    <xf numFmtId="0" fontId="5" fillId="9" borderId="3" xfId="0" applyFont="1" applyFill="1" applyBorder="1" applyAlignment="1">
      <alignment horizontal="left" vertical="top" wrapText="1"/>
    </xf>
    <xf numFmtId="0" fontId="5" fillId="9" borderId="4" xfId="0" applyFont="1" applyFill="1" applyBorder="1" applyAlignment="1">
      <alignment horizontal="left" vertical="top" wrapText="1"/>
    </xf>
    <xf numFmtId="0" fontId="5" fillId="9" borderId="5" xfId="0" applyFont="1" applyFill="1" applyBorder="1" applyAlignment="1">
      <alignment horizontal="left" vertical="top" wrapText="1"/>
    </xf>
    <xf numFmtId="0" fontId="5" fillId="9" borderId="1" xfId="0" applyFont="1" applyFill="1" applyBorder="1" applyAlignment="1">
      <alignment horizontal="left" vertical="top"/>
    </xf>
    <xf numFmtId="20" fontId="5" fillId="9" borderId="1" xfId="0" applyNumberFormat="1" applyFont="1" applyFill="1" applyBorder="1" applyAlignment="1">
      <alignment horizontal="center" vertical="top"/>
    </xf>
    <xf numFmtId="20" fontId="5" fillId="9" borderId="1" xfId="0" applyNumberFormat="1" applyFont="1" applyFill="1" applyBorder="1" applyAlignment="1">
      <alignment horizontal="right" vertical="top"/>
    </xf>
    <xf numFmtId="0" fontId="18" fillId="9" borderId="1" xfId="0" applyFont="1" applyFill="1"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5" fillId="10" borderId="8" xfId="0" applyFont="1" applyFill="1" applyBorder="1" applyAlignment="1">
      <alignment horizontal="center" vertical="top" textRotation="255" wrapText="1"/>
    </xf>
    <xf numFmtId="0" fontId="5" fillId="10" borderId="1" xfId="0" applyFont="1" applyFill="1" applyBorder="1" applyAlignment="1">
      <alignment horizontal="left" vertical="top" wrapText="1"/>
    </xf>
    <xf numFmtId="0" fontId="5" fillId="10" borderId="3" xfId="0" applyFont="1" applyFill="1" applyBorder="1" applyAlignment="1">
      <alignment horizontal="left" vertical="top" wrapText="1"/>
    </xf>
    <xf numFmtId="0" fontId="5" fillId="10" borderId="4" xfId="0" applyFont="1" applyFill="1" applyBorder="1" applyAlignment="1">
      <alignment horizontal="left" vertical="top" wrapText="1"/>
    </xf>
    <xf numFmtId="0" fontId="5" fillId="10" borderId="5" xfId="0" applyFont="1" applyFill="1" applyBorder="1" applyAlignment="1">
      <alignment horizontal="left" vertical="top" wrapText="1"/>
    </xf>
    <xf numFmtId="0" fontId="5" fillId="10" borderId="1" xfId="0" applyFont="1" applyFill="1" applyBorder="1" applyAlignment="1">
      <alignment horizontal="left" vertical="top"/>
    </xf>
    <xf numFmtId="20" fontId="5" fillId="10" borderId="1" xfId="0" applyNumberFormat="1" applyFont="1" applyFill="1" applyBorder="1" applyAlignment="1">
      <alignment horizontal="center" vertical="top"/>
    </xf>
    <xf numFmtId="20" fontId="5" fillId="10" borderId="1" xfId="0" applyNumberFormat="1" applyFont="1" applyFill="1" applyBorder="1" applyAlignment="1">
      <alignment horizontal="right" vertical="top"/>
    </xf>
    <xf numFmtId="0" fontId="18" fillId="10" borderId="1" xfId="0" applyFont="1" applyFill="1" applyBorder="1" applyAlignment="1">
      <alignment horizontal="left" vertical="top" wrapText="1"/>
    </xf>
    <xf numFmtId="0" fontId="5" fillId="10" borderId="10" xfId="0" applyFont="1" applyFill="1" applyBorder="1" applyAlignment="1">
      <alignment horizontal="center" vertical="top" textRotation="255" wrapText="1"/>
    </xf>
    <xf numFmtId="0" fontId="5" fillId="10" borderId="9" xfId="0" applyFont="1" applyFill="1" applyBorder="1" applyAlignment="1">
      <alignment horizontal="center" vertical="top" textRotation="255" wrapText="1"/>
    </xf>
    <xf numFmtId="0" fontId="5" fillId="10" borderId="1" xfId="0" applyFont="1" applyFill="1" applyBorder="1" applyAlignment="1">
      <alignment vertical="top" textRotation="255" wrapText="1"/>
    </xf>
    <xf numFmtId="0" fontId="5" fillId="10" borderId="8" xfId="0" applyFont="1" applyFill="1" applyBorder="1" applyAlignment="1">
      <alignment vertical="top"/>
    </xf>
    <xf numFmtId="0" fontId="5" fillId="10" borderId="10" xfId="0" applyFont="1" applyFill="1" applyBorder="1" applyAlignment="1">
      <alignment vertical="top"/>
    </xf>
    <xf numFmtId="0" fontId="5" fillId="10" borderId="9" xfId="0" applyFont="1" applyFill="1" applyBorder="1" applyAlignment="1">
      <alignment vertical="top"/>
    </xf>
    <xf numFmtId="20" fontId="5" fillId="0" borderId="5" xfId="0" applyNumberFormat="1" applyFont="1" applyBorder="1" applyAlignment="1">
      <alignment vertical="top"/>
    </xf>
    <xf numFmtId="0" fontId="5" fillId="6" borderId="1" xfId="0" applyFont="1" applyFill="1" applyBorder="1" applyAlignment="1">
      <alignment vertical="center" wrapText="1"/>
    </xf>
    <xf numFmtId="0" fontId="0" fillId="0" borderId="0" xfId="0" applyFill="1">
      <alignment vertical="center"/>
    </xf>
    <xf numFmtId="0" fontId="0" fillId="0" borderId="0" xfId="0" applyFill="1" applyAlignment="1">
      <alignment horizontal="left" vertical="top"/>
    </xf>
    <xf numFmtId="0" fontId="5" fillId="9" borderId="8" xfId="0" applyFont="1" applyFill="1" applyBorder="1" applyAlignment="1">
      <alignment horizontal="center" vertical="center" textRotation="255" wrapText="1"/>
    </xf>
    <xf numFmtId="0" fontId="5" fillId="9" borderId="10" xfId="0" applyFont="1" applyFill="1" applyBorder="1" applyAlignment="1">
      <alignment horizontal="center" vertical="center" textRotation="255" wrapText="1"/>
    </xf>
    <xf numFmtId="0" fontId="5" fillId="9" borderId="9" xfId="0" applyFont="1" applyFill="1" applyBorder="1" applyAlignment="1">
      <alignment horizontal="center" vertical="center" textRotation="255" wrapText="1"/>
    </xf>
    <xf numFmtId="0" fontId="5" fillId="4" borderId="8" xfId="0" applyFont="1" applyFill="1" applyBorder="1" applyAlignment="1">
      <alignment horizontal="center" vertical="center" textRotation="255" wrapText="1"/>
    </xf>
    <xf numFmtId="0" fontId="5" fillId="4" borderId="10" xfId="0" applyFont="1" applyFill="1" applyBorder="1" applyAlignment="1">
      <alignment horizontal="center" vertical="center" textRotation="255" wrapText="1"/>
    </xf>
    <xf numFmtId="0" fontId="5" fillId="4" borderId="9" xfId="0" applyFont="1" applyFill="1" applyBorder="1" applyAlignment="1">
      <alignment horizontal="center" vertical="center" textRotation="255" wrapText="1"/>
    </xf>
    <xf numFmtId="0" fontId="5" fillId="4" borderId="8" xfId="0" applyFont="1" applyFill="1" applyBorder="1" applyAlignment="1">
      <alignment vertical="center" textRotation="255" wrapText="1"/>
    </xf>
    <xf numFmtId="20" fontId="5" fillId="0" borderId="9" xfId="0" applyNumberFormat="1" applyFont="1" applyBorder="1" applyAlignment="1">
      <alignment vertical="top"/>
    </xf>
    <xf numFmtId="20" fontId="5" fillId="0" borderId="13" xfId="0" applyNumberFormat="1" applyFont="1" applyBorder="1" applyAlignment="1">
      <alignment vertical="top"/>
    </xf>
    <xf numFmtId="20" fontId="5" fillId="0" borderId="14" xfId="0" applyNumberFormat="1" applyFont="1" applyBorder="1" applyAlignment="1">
      <alignment vertical="top"/>
    </xf>
    <xf numFmtId="20" fontId="5" fillId="0" borderId="9" xfId="0" applyNumberFormat="1" applyFont="1" applyBorder="1">
      <alignment vertical="center"/>
    </xf>
    <xf numFmtId="0" fontId="5" fillId="9" borderId="9" xfId="0" applyFont="1" applyFill="1" applyBorder="1" applyAlignment="1">
      <alignment vertical="top"/>
    </xf>
    <xf numFmtId="0" fontId="5" fillId="9" borderId="8" xfId="0" applyFont="1" applyFill="1" applyBorder="1" applyAlignment="1">
      <alignment vertical="top"/>
    </xf>
    <xf numFmtId="0" fontId="5" fillId="9" borderId="10" xfId="0" applyFont="1" applyFill="1" applyBorder="1" applyAlignment="1">
      <alignment vertical="top"/>
    </xf>
  </cellXfs>
  <cellStyles count="4">
    <cellStyle name="ハイパーリンク" xfId="3" builtinId="8"/>
    <cellStyle name="標準" xfId="0" builtinId="0"/>
    <cellStyle name="標準 2" xfId="1" xr:uid="{00000000-0005-0000-0000-000002000000}"/>
    <cellStyle name="標準 2 2" xfId="2" xr:uid="{00000000-0005-0000-0000-000003000000}"/>
  </cellStyles>
  <dxfs count="0"/>
  <tableStyles count="0" defaultTableStyle="TableStyleMedium2" defaultPivotStyle="PivotStyleLight16"/>
  <colors>
    <mruColors>
      <color rgb="FFC5D9F1"/>
      <color rgb="FFFFFF99"/>
      <color rgb="FFFFCCFF"/>
      <color rgb="FFFFCC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bg1"/>
        </a:solidFill>
        <a:ln w="12700" cap="sq">
          <a:solidFill>
            <a:schemeClr val="tx1"/>
          </a:solidFill>
          <a:miter lim="800000"/>
        </a:ln>
      </a:spPr>
      <a:bodyPr vertOverflow="clip" horzOverflow="clip" lIns="36000" tIns="36000" rIns="36000" bIns="36000" rtlCol="0" anchor="t" anchorCtr="0"/>
      <a:lstStyle>
        <a:defPPr algn="l">
          <a:defRPr kumimoji="1" sz="900">
            <a:solidFill>
              <a:sysClr val="windowText" lastClr="000000"/>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4"/>
  <sheetViews>
    <sheetView showGridLines="0" tabSelected="1" view="pageBreakPreview" zoomScale="90" zoomScaleNormal="115" zoomScaleSheetLayoutView="90" workbookViewId="0">
      <selection activeCell="E10" sqref="E10"/>
    </sheetView>
  </sheetViews>
  <sheetFormatPr defaultColWidth="9" defaultRowHeight="15"/>
  <cols>
    <col min="1" max="1" width="7" style="1" bestFit="1" customWidth="1"/>
    <col min="2" max="2" width="7.33203125" style="15" bestFit="1" customWidth="1"/>
    <col min="3" max="3" width="45" style="1" bestFit="1" customWidth="1"/>
    <col min="4" max="4" width="7.33203125" style="15" bestFit="1" customWidth="1"/>
    <col min="5" max="5" width="45" style="1" bestFit="1" customWidth="1"/>
    <col min="6" max="6" width="7.33203125" style="15" bestFit="1" customWidth="1"/>
    <col min="7" max="7" width="45" style="1" bestFit="1" customWidth="1"/>
    <col min="8" max="8" width="7.33203125" style="15" bestFit="1" customWidth="1"/>
    <col min="9" max="9" width="45" style="1" bestFit="1" customWidth="1"/>
    <col min="10" max="10" width="7.33203125" style="15" bestFit="1" customWidth="1"/>
    <col min="11" max="11" width="45" style="1" bestFit="1" customWidth="1"/>
    <col min="12" max="12" width="7.33203125" style="1" customWidth="1"/>
    <col min="13" max="16384" width="9" style="6"/>
  </cols>
  <sheetData>
    <row r="1" spans="1:11">
      <c r="D1" s="1"/>
      <c r="F1" s="1"/>
      <c r="H1" s="1"/>
      <c r="J1" s="1"/>
    </row>
    <row r="2" spans="1:11" ht="27">
      <c r="A2" s="13"/>
      <c r="B2" s="70" t="str">
        <f>"コースプラン/インストラクションガイド 「"&amp;master!$B$1&amp;"_IG」"</f>
        <v>コースプラン/インストラクションガイド 「AI Native-提案演習_IG」</v>
      </c>
      <c r="C2" s="70"/>
      <c r="D2" s="70"/>
      <c r="E2" s="70"/>
      <c r="F2" s="70"/>
      <c r="G2" s="70"/>
      <c r="H2" s="70"/>
      <c r="I2" s="70"/>
      <c r="J2" s="69"/>
      <c r="K2" s="69"/>
    </row>
    <row r="3" spans="1:11" ht="27.6" thickBot="1">
      <c r="A3" s="13"/>
      <c r="B3" s="14"/>
      <c r="C3" s="13"/>
      <c r="D3" s="13"/>
      <c r="E3" s="13"/>
      <c r="F3" s="13"/>
      <c r="G3" s="13"/>
      <c r="H3" s="13"/>
      <c r="I3" s="13"/>
      <c r="J3" s="13"/>
      <c r="K3" s="13"/>
    </row>
    <row r="4" spans="1:11" ht="27.6" thickBot="1">
      <c r="A4" s="13"/>
      <c r="B4" s="71" t="s">
        <v>11</v>
      </c>
      <c r="C4" s="72"/>
      <c r="D4" s="13"/>
      <c r="E4" s="13"/>
      <c r="F4" s="13"/>
      <c r="G4" s="13"/>
      <c r="H4" s="13"/>
      <c r="I4" s="13"/>
      <c r="J4" s="13"/>
      <c r="K4" s="13"/>
    </row>
    <row r="5" spans="1:11" ht="27.6" thickBot="1">
      <c r="A5" s="13"/>
      <c r="B5" s="73"/>
      <c r="C5" s="74"/>
      <c r="D5" s="13"/>
      <c r="E5" s="13"/>
      <c r="F5" s="13"/>
      <c r="G5" s="13"/>
      <c r="H5" s="13"/>
      <c r="I5" s="13"/>
      <c r="J5" s="13"/>
      <c r="K5" s="13"/>
    </row>
    <row r="6" spans="1:11">
      <c r="D6" s="1"/>
      <c r="F6" s="1"/>
      <c r="H6" s="1"/>
      <c r="J6" s="1"/>
    </row>
    <row r="7" spans="1:11" ht="16.2">
      <c r="B7" s="75" t="s">
        <v>2</v>
      </c>
      <c r="C7" s="75"/>
      <c r="D7" s="1"/>
      <c r="F7" s="1"/>
      <c r="H7" s="1"/>
      <c r="J7" s="1"/>
    </row>
    <row r="8" spans="1:11">
      <c r="D8" s="1"/>
      <c r="E8" s="15"/>
      <c r="F8" s="1"/>
      <c r="G8" s="15"/>
      <c r="H8" s="1"/>
      <c r="I8" s="15"/>
      <c r="J8" s="1"/>
      <c r="K8" s="15"/>
    </row>
    <row r="9" spans="1:11">
      <c r="B9" s="24"/>
      <c r="C9" s="24" t="s">
        <v>0</v>
      </c>
      <c r="D9" s="24"/>
      <c r="E9" s="24" t="s">
        <v>89</v>
      </c>
      <c r="F9" s="24"/>
      <c r="G9" s="24" t="s">
        <v>90</v>
      </c>
      <c r="H9" s="24"/>
      <c r="I9" s="24" t="s">
        <v>91</v>
      </c>
      <c r="J9" s="24"/>
      <c r="K9" s="24" t="s">
        <v>92</v>
      </c>
    </row>
    <row r="10" spans="1:11" ht="14.25" customHeight="1">
      <c r="A10" s="37">
        <v>0.39583333333333331</v>
      </c>
      <c r="B10" s="16">
        <v>0.39583333333333331</v>
      </c>
      <c r="C10" s="63" t="s">
        <v>3</v>
      </c>
      <c r="D10" s="16">
        <v>0.39583333333333331</v>
      </c>
      <c r="E10" s="63" t="s">
        <v>3</v>
      </c>
      <c r="F10" s="16">
        <v>0.39583333333333331</v>
      </c>
      <c r="G10" s="63" t="s">
        <v>3</v>
      </c>
      <c r="H10" s="16">
        <v>0.39583333333333331</v>
      </c>
      <c r="I10" s="63" t="s">
        <v>3</v>
      </c>
      <c r="J10" s="16">
        <v>0.39583333333333331</v>
      </c>
      <c r="K10" s="63" t="s">
        <v>3</v>
      </c>
    </row>
    <row r="11" spans="1:11">
      <c r="A11" s="39"/>
      <c r="B11" s="58">
        <v>0.40625</v>
      </c>
      <c r="C11" s="61" t="str">
        <f>master!B4</f>
        <v>導入</v>
      </c>
      <c r="D11" s="58">
        <v>0.40625</v>
      </c>
      <c r="E11" s="133"/>
      <c r="F11" s="58">
        <v>0.40625</v>
      </c>
      <c r="G11" s="133" t="str">
        <f>master!B39</f>
        <v>チーム演習</v>
      </c>
      <c r="H11" s="58">
        <v>0.40625</v>
      </c>
      <c r="I11" s="134"/>
      <c r="J11" s="58">
        <v>0.40625</v>
      </c>
      <c r="K11" s="114" t="str">
        <f>master!B48</f>
        <v>発表会（ブロック代表の決定）</v>
      </c>
    </row>
    <row r="12" spans="1:11">
      <c r="A12" s="37">
        <v>0.41666666666666669</v>
      </c>
      <c r="B12" s="129">
        <v>0.41666666666666669</v>
      </c>
      <c r="C12" s="61" t="str">
        <f>master!B5</f>
        <v>企画提案のステップ</v>
      </c>
      <c r="D12" s="60"/>
      <c r="E12" s="134"/>
      <c r="F12" s="60"/>
      <c r="G12" s="134"/>
      <c r="H12" s="60"/>
      <c r="I12" s="134"/>
      <c r="J12" s="60"/>
      <c r="K12" s="115"/>
    </row>
    <row r="13" spans="1:11">
      <c r="A13" s="38"/>
      <c r="B13" s="130"/>
      <c r="C13" s="62" t="str">
        <f>master!B16</f>
        <v>まとめ</v>
      </c>
      <c r="D13" s="60"/>
      <c r="E13" s="134"/>
      <c r="F13" s="60"/>
      <c r="G13" s="134"/>
      <c r="H13" s="60"/>
      <c r="I13" s="134"/>
      <c r="J13" s="60"/>
      <c r="K13" s="115"/>
    </row>
    <row r="14" spans="1:11">
      <c r="A14" s="38"/>
      <c r="B14" s="58">
        <v>0.4375</v>
      </c>
      <c r="C14" s="61" t="str">
        <f>master!B18</f>
        <v>提案書サンプル</v>
      </c>
      <c r="D14" s="60"/>
      <c r="E14" s="134"/>
      <c r="F14" s="60"/>
      <c r="G14" s="134"/>
      <c r="H14" s="60"/>
      <c r="I14" s="134"/>
      <c r="J14" s="60"/>
      <c r="K14" s="115"/>
    </row>
    <row r="15" spans="1:11">
      <c r="A15" s="39"/>
      <c r="B15" s="131" t="s">
        <v>29</v>
      </c>
      <c r="C15" s="62"/>
      <c r="D15" s="60"/>
      <c r="E15" s="134"/>
      <c r="F15" s="60"/>
      <c r="G15" s="134"/>
      <c r="H15" s="60"/>
      <c r="I15" s="134"/>
      <c r="J15" s="60"/>
      <c r="K15" s="115"/>
    </row>
    <row r="16" spans="1:11">
      <c r="A16" s="37">
        <v>0.45833333333333331</v>
      </c>
      <c r="B16" s="58">
        <v>0.45833333333333331</v>
      </c>
      <c r="C16" s="133" t="str">
        <f>master!B31</f>
        <v>個人演習</v>
      </c>
      <c r="D16" s="60"/>
      <c r="E16" s="134"/>
      <c r="F16" s="60"/>
      <c r="G16" s="134"/>
      <c r="H16" s="60"/>
      <c r="I16" s="134"/>
      <c r="J16" s="60"/>
      <c r="K16" s="115"/>
    </row>
    <row r="17" spans="1:12">
      <c r="A17" s="38"/>
      <c r="B17" s="60"/>
      <c r="C17" s="134"/>
      <c r="D17" s="60"/>
      <c r="E17" s="134"/>
      <c r="F17" s="60"/>
      <c r="G17" s="134"/>
      <c r="H17" s="60"/>
      <c r="I17" s="134"/>
      <c r="J17" s="60"/>
      <c r="K17" s="115"/>
    </row>
    <row r="18" spans="1:12">
      <c r="A18" s="38"/>
      <c r="B18" s="60"/>
      <c r="C18" s="134"/>
      <c r="D18" s="60"/>
      <c r="E18" s="134"/>
      <c r="F18" s="60"/>
      <c r="G18" s="134"/>
      <c r="H18" s="60"/>
      <c r="I18" s="134"/>
      <c r="J18" s="60"/>
      <c r="K18" s="115"/>
    </row>
    <row r="19" spans="1:12">
      <c r="A19" s="39"/>
      <c r="B19" s="60"/>
      <c r="C19" s="134"/>
      <c r="D19" s="60"/>
      <c r="E19" s="134"/>
      <c r="F19" s="60"/>
      <c r="G19" s="134"/>
      <c r="H19" s="60"/>
      <c r="I19" s="134"/>
      <c r="J19" s="60"/>
      <c r="K19" s="115"/>
    </row>
    <row r="20" spans="1:12">
      <c r="A20" s="57">
        <v>0.5</v>
      </c>
      <c r="B20" s="60"/>
      <c r="C20" s="134"/>
      <c r="D20" s="60"/>
      <c r="E20" s="134"/>
      <c r="F20" s="60"/>
      <c r="G20" s="134"/>
      <c r="H20" s="60"/>
      <c r="I20" s="134"/>
      <c r="J20" s="60"/>
      <c r="K20" s="115"/>
    </row>
    <row r="21" spans="1:12">
      <c r="A21" s="52"/>
      <c r="B21" s="54"/>
      <c r="C21" s="132"/>
      <c r="D21" s="128"/>
      <c r="E21" s="132"/>
      <c r="F21" s="128"/>
      <c r="G21" s="132"/>
      <c r="H21" s="128"/>
      <c r="I21" s="134"/>
      <c r="J21" s="54"/>
      <c r="K21" s="116"/>
    </row>
    <row r="22" spans="1:12">
      <c r="A22" s="38"/>
      <c r="B22" s="38">
        <v>0.52083333333333337</v>
      </c>
      <c r="C22" s="64" t="s">
        <v>1</v>
      </c>
      <c r="D22" s="38">
        <v>0.52083333333333337</v>
      </c>
      <c r="E22" s="64" t="s">
        <v>1</v>
      </c>
      <c r="F22" s="38">
        <v>0.52083333333333337</v>
      </c>
      <c r="G22" s="64" t="s">
        <v>1</v>
      </c>
      <c r="H22" s="38">
        <v>0.52083333333333337</v>
      </c>
      <c r="I22" s="64" t="s">
        <v>1</v>
      </c>
      <c r="J22" s="38">
        <v>0.52083333333333337</v>
      </c>
      <c r="K22" s="64" t="s">
        <v>1</v>
      </c>
    </row>
    <row r="23" spans="1:12">
      <c r="A23" s="39"/>
      <c r="B23" s="38" t="s">
        <v>29</v>
      </c>
      <c r="C23" s="65"/>
      <c r="D23" s="38" t="s">
        <v>29</v>
      </c>
      <c r="E23" s="65"/>
      <c r="F23" s="38" t="s">
        <v>29</v>
      </c>
      <c r="G23" s="65"/>
      <c r="H23" s="38" t="s">
        <v>29</v>
      </c>
      <c r="I23" s="65"/>
      <c r="J23" s="38" t="s">
        <v>29</v>
      </c>
      <c r="K23" s="65"/>
    </row>
    <row r="24" spans="1:12">
      <c r="A24" s="37">
        <v>0.54166666666666663</v>
      </c>
      <c r="B24" s="38" t="s">
        <v>29</v>
      </c>
      <c r="C24" s="65"/>
      <c r="D24" s="38" t="s">
        <v>29</v>
      </c>
      <c r="E24" s="65"/>
      <c r="F24" s="38" t="s">
        <v>29</v>
      </c>
      <c r="G24" s="65"/>
      <c r="H24" s="38" t="s">
        <v>29</v>
      </c>
      <c r="I24" s="65"/>
      <c r="J24" s="38" t="s">
        <v>29</v>
      </c>
      <c r="K24" s="65"/>
    </row>
    <row r="25" spans="1:12">
      <c r="A25" s="38"/>
      <c r="B25" s="39" t="s">
        <v>29</v>
      </c>
      <c r="C25" s="66"/>
      <c r="D25" s="39" t="s">
        <v>29</v>
      </c>
      <c r="E25" s="66"/>
      <c r="F25" s="39" t="s">
        <v>29</v>
      </c>
      <c r="G25" s="66"/>
      <c r="H25" s="39" t="s">
        <v>29</v>
      </c>
      <c r="I25" s="66"/>
      <c r="J25" s="39" t="s">
        <v>29</v>
      </c>
      <c r="K25" s="66"/>
    </row>
    <row r="26" spans="1:12">
      <c r="A26" s="38"/>
      <c r="B26" s="40">
        <v>0.5625</v>
      </c>
      <c r="C26" s="133"/>
      <c r="D26" s="40">
        <v>0.5625</v>
      </c>
      <c r="E26" s="133"/>
      <c r="F26" s="40">
        <v>0.5625</v>
      </c>
      <c r="G26" s="133"/>
      <c r="H26" s="40">
        <v>0.5625</v>
      </c>
      <c r="I26" s="133"/>
      <c r="J26" s="40">
        <v>0.5625</v>
      </c>
      <c r="K26" s="114" t="str">
        <f>master!B51</f>
        <v>発表会（最終）</v>
      </c>
    </row>
    <row r="27" spans="1:12">
      <c r="A27" s="39"/>
      <c r="B27" s="42"/>
      <c r="C27" s="134"/>
      <c r="D27" s="42"/>
      <c r="E27" s="134"/>
      <c r="F27" s="42"/>
      <c r="G27" s="134"/>
      <c r="H27" s="42"/>
      <c r="I27" s="134"/>
      <c r="J27" s="42"/>
      <c r="K27" s="115"/>
    </row>
    <row r="28" spans="1:12">
      <c r="A28" s="37">
        <v>0.58333333333333337</v>
      </c>
      <c r="B28" s="42"/>
      <c r="C28" s="134"/>
      <c r="D28" s="42"/>
      <c r="E28" s="134"/>
      <c r="F28" s="42"/>
      <c r="G28" s="134"/>
      <c r="H28" s="42"/>
      <c r="I28" s="134"/>
      <c r="J28" s="42"/>
      <c r="K28" s="115"/>
    </row>
    <row r="29" spans="1:12">
      <c r="A29" s="38"/>
      <c r="B29" s="42"/>
      <c r="C29" s="134"/>
      <c r="D29" s="42"/>
      <c r="E29" s="134"/>
      <c r="F29" s="42"/>
      <c r="G29" s="134"/>
      <c r="H29" s="42"/>
      <c r="I29" s="134"/>
      <c r="J29" s="42"/>
      <c r="K29" s="115"/>
      <c r="L29" s="51"/>
    </row>
    <row r="30" spans="1:12">
      <c r="A30" s="38"/>
      <c r="B30" s="42"/>
      <c r="C30" s="134"/>
      <c r="D30" s="42"/>
      <c r="E30" s="134"/>
      <c r="F30" s="42"/>
      <c r="G30" s="134"/>
      <c r="H30" s="42"/>
      <c r="I30" s="134"/>
      <c r="J30" s="42"/>
      <c r="K30" s="115"/>
      <c r="L30" s="51"/>
    </row>
    <row r="31" spans="1:12">
      <c r="A31" s="39"/>
      <c r="B31" s="42"/>
      <c r="C31" s="134"/>
      <c r="D31" s="42"/>
      <c r="E31" s="134"/>
      <c r="F31" s="42"/>
      <c r="G31" s="134"/>
      <c r="H31" s="42"/>
      <c r="I31" s="134"/>
      <c r="J31" s="42"/>
      <c r="K31" s="115"/>
      <c r="L31" s="51"/>
    </row>
    <row r="32" spans="1:12">
      <c r="A32" s="57">
        <v>0.625</v>
      </c>
      <c r="B32" s="42"/>
      <c r="C32" s="134"/>
      <c r="D32" s="42"/>
      <c r="E32" s="134"/>
      <c r="F32" s="42"/>
      <c r="G32" s="134"/>
      <c r="H32" s="42"/>
      <c r="I32" s="134"/>
      <c r="J32" s="42"/>
      <c r="K32" s="115"/>
      <c r="L32" s="51"/>
    </row>
    <row r="33" spans="1:12">
      <c r="A33" s="52"/>
      <c r="B33" s="42"/>
      <c r="C33" s="134"/>
      <c r="D33" s="42"/>
      <c r="E33" s="134"/>
      <c r="F33" s="42"/>
      <c r="G33" s="134"/>
      <c r="H33" s="42"/>
      <c r="I33" s="134"/>
      <c r="J33" s="42"/>
      <c r="K33" s="115"/>
      <c r="L33" s="51"/>
    </row>
    <row r="34" spans="1:12">
      <c r="A34" s="52"/>
      <c r="B34" s="42"/>
      <c r="C34" s="134"/>
      <c r="D34" s="42"/>
      <c r="E34" s="134"/>
      <c r="F34" s="42"/>
      <c r="G34" s="134"/>
      <c r="H34" s="42"/>
      <c r="I34" s="134"/>
      <c r="J34" s="42"/>
      <c r="K34" s="115"/>
      <c r="L34" s="51"/>
    </row>
    <row r="35" spans="1:12">
      <c r="A35" s="39"/>
      <c r="B35" s="42"/>
      <c r="C35" s="134"/>
      <c r="D35" s="42"/>
      <c r="E35" s="134"/>
      <c r="F35" s="42"/>
      <c r="G35" s="134"/>
      <c r="H35" s="42"/>
      <c r="I35" s="134"/>
      <c r="J35" s="42"/>
      <c r="K35" s="115"/>
      <c r="L35" s="51"/>
    </row>
    <row r="36" spans="1:12">
      <c r="A36" s="37">
        <v>0.66666666666666663</v>
      </c>
      <c r="B36" s="42"/>
      <c r="C36" s="134"/>
      <c r="D36" s="42"/>
      <c r="E36" s="134"/>
      <c r="F36" s="42"/>
      <c r="G36" s="134"/>
      <c r="H36" s="42"/>
      <c r="I36" s="134"/>
      <c r="J36" s="42"/>
      <c r="K36" s="115"/>
      <c r="L36" s="51"/>
    </row>
    <row r="37" spans="1:12">
      <c r="A37" s="38"/>
      <c r="B37" s="42"/>
      <c r="C37" s="134"/>
      <c r="D37" s="42"/>
      <c r="E37" s="134"/>
      <c r="F37" s="42"/>
      <c r="G37" s="134"/>
      <c r="H37" s="42"/>
      <c r="I37" s="134"/>
      <c r="J37" s="42"/>
      <c r="K37" s="115"/>
      <c r="L37" s="51"/>
    </row>
    <row r="38" spans="1:12">
      <c r="A38" s="38"/>
      <c r="B38" s="42"/>
      <c r="C38" s="134"/>
      <c r="D38" s="42"/>
      <c r="E38" s="134"/>
      <c r="F38" s="42"/>
      <c r="G38" s="134"/>
      <c r="H38" s="42"/>
      <c r="I38" s="134"/>
      <c r="J38" s="42"/>
      <c r="K38" s="115"/>
      <c r="L38" s="51"/>
    </row>
    <row r="39" spans="1:12">
      <c r="A39" s="38"/>
      <c r="B39" s="42"/>
      <c r="C39" s="134"/>
      <c r="D39" s="42"/>
      <c r="E39" s="134"/>
      <c r="F39" s="42"/>
      <c r="G39" s="134"/>
      <c r="H39" s="42"/>
      <c r="I39" s="134"/>
      <c r="J39" s="42"/>
      <c r="K39" s="115"/>
      <c r="L39" s="51"/>
    </row>
    <row r="40" spans="1:12">
      <c r="A40" s="40">
        <v>0.70833333333333337</v>
      </c>
      <c r="B40" s="42"/>
      <c r="C40" s="134"/>
      <c r="D40" s="42"/>
      <c r="E40" s="134"/>
      <c r="F40" s="42"/>
      <c r="G40" s="134"/>
      <c r="H40" s="42"/>
      <c r="I40" s="134"/>
      <c r="J40" s="42"/>
      <c r="K40" s="115"/>
      <c r="L40" s="51"/>
    </row>
    <row r="41" spans="1:12">
      <c r="A41" s="38"/>
      <c r="B41" s="42"/>
      <c r="C41" s="134"/>
      <c r="D41" s="42"/>
      <c r="E41" s="134"/>
      <c r="F41" s="42"/>
      <c r="G41" s="134"/>
      <c r="H41" s="42"/>
      <c r="I41" s="134"/>
      <c r="J41" s="42"/>
      <c r="K41" s="115"/>
      <c r="L41" s="53"/>
    </row>
    <row r="42" spans="1:12">
      <c r="A42" s="42"/>
      <c r="B42" s="42"/>
      <c r="C42" s="132"/>
      <c r="D42" s="42"/>
      <c r="E42" s="132"/>
      <c r="F42" s="42"/>
      <c r="G42" s="132"/>
      <c r="H42" s="42"/>
      <c r="I42" s="132"/>
      <c r="J42" s="42"/>
      <c r="K42" s="116"/>
      <c r="L42" s="51"/>
    </row>
    <row r="43" spans="1:12" ht="14.25" customHeight="1">
      <c r="A43" s="41"/>
      <c r="B43" s="117">
        <v>0.73958333333333337</v>
      </c>
      <c r="C43" s="118" t="s">
        <v>93</v>
      </c>
      <c r="D43" s="117">
        <v>0.73958333333333337</v>
      </c>
      <c r="E43" s="118" t="s">
        <v>93</v>
      </c>
      <c r="F43" s="117">
        <v>0.73958333333333337</v>
      </c>
      <c r="G43" s="118" t="s">
        <v>93</v>
      </c>
      <c r="H43" s="117">
        <v>0.73958333333333337</v>
      </c>
      <c r="I43" s="118" t="s">
        <v>93</v>
      </c>
      <c r="J43" s="117">
        <v>0.73958333333333337</v>
      </c>
      <c r="K43" s="118" t="s">
        <v>93</v>
      </c>
      <c r="L43" s="52"/>
    </row>
    <row r="44" spans="1:12" ht="15.6" thickBot="1">
      <c r="A44" s="6"/>
      <c r="L44" s="22"/>
    </row>
  </sheetData>
  <mergeCells count="4">
    <mergeCell ref="B2:I2"/>
    <mergeCell ref="B4:C4"/>
    <mergeCell ref="B5:C5"/>
    <mergeCell ref="B7:C7"/>
  </mergeCells>
  <phoneticPr fontId="3"/>
  <pageMargins left="0.7" right="0.7" top="0.75" bottom="0.75" header="0.3" footer="0.3"/>
  <pageSetup paperSize="9" scale="32"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L13"/>
  <sheetViews>
    <sheetView showGridLines="0" view="pageBreakPreview" zoomScale="90" zoomScaleNormal="100" zoomScaleSheetLayoutView="90" workbookViewId="0"/>
  </sheetViews>
  <sheetFormatPr defaultColWidth="9" defaultRowHeight="15"/>
  <cols>
    <col min="1" max="1" width="4.33203125" style="1" customWidth="1"/>
    <col min="2" max="2" width="8.21875" style="1" customWidth="1"/>
    <col min="3" max="3" width="39.88671875" style="1" bestFit="1" customWidth="1"/>
    <col min="4" max="4" width="21.109375" style="10" bestFit="1" customWidth="1"/>
    <col min="5" max="5" width="16.33203125" style="10" customWidth="1"/>
    <col min="6" max="6" width="10.44140625" style="10" bestFit="1" customWidth="1"/>
    <col min="7" max="7" width="15.77734375" style="1" customWidth="1"/>
    <col min="8" max="8" width="8.44140625" style="27" customWidth="1"/>
    <col min="9" max="10" width="6.6640625" style="10" customWidth="1"/>
    <col min="11" max="11" width="38.44140625" style="1" customWidth="1"/>
    <col min="12" max="12" width="4.6640625" style="1" customWidth="1"/>
    <col min="13" max="16384" width="9" style="6"/>
  </cols>
  <sheetData>
    <row r="2" spans="1:12" s="31" customFormat="1" ht="36.75" customHeight="1">
      <c r="B2" s="2" t="s">
        <v>27</v>
      </c>
      <c r="C2" s="2"/>
      <c r="D2" s="32"/>
      <c r="E2" s="32"/>
      <c r="F2" s="32"/>
      <c r="G2" s="2"/>
      <c r="H2" s="25"/>
      <c r="I2" s="32"/>
      <c r="J2" s="32"/>
      <c r="K2" s="2"/>
    </row>
    <row r="3" spans="1:12">
      <c r="C3" s="7"/>
      <c r="D3" s="8"/>
      <c r="E3" s="8"/>
      <c r="F3" s="8"/>
      <c r="G3" s="7"/>
      <c r="H3" s="26"/>
      <c r="I3" s="18"/>
      <c r="J3" s="18"/>
      <c r="K3" s="9"/>
    </row>
    <row r="4" spans="1:12" ht="16.2">
      <c r="B4" s="81" t="s">
        <v>4</v>
      </c>
      <c r="C4" s="81"/>
      <c r="D4" s="8"/>
      <c r="E4" s="8"/>
      <c r="F4" s="8"/>
      <c r="G4" s="7"/>
      <c r="H4" s="26"/>
      <c r="I4" s="18"/>
      <c r="J4" s="18"/>
      <c r="K4" s="9"/>
    </row>
    <row r="5" spans="1:12" ht="36" customHeight="1">
      <c r="B5" s="82"/>
      <c r="C5" s="82"/>
      <c r="D5" s="82"/>
      <c r="E5" s="82"/>
      <c r="F5" s="82"/>
      <c r="G5" s="82"/>
      <c r="H5" s="82"/>
      <c r="I5" s="82"/>
      <c r="J5" s="82"/>
      <c r="K5" s="82"/>
    </row>
    <row r="6" spans="1:12">
      <c r="B6" s="10"/>
      <c r="C6" s="10"/>
      <c r="G6" s="10"/>
      <c r="K6" s="10"/>
    </row>
    <row r="7" spans="1:12">
      <c r="B7" s="33" t="s">
        <v>14</v>
      </c>
      <c r="C7" s="33"/>
      <c r="D7" s="83" t="s">
        <v>20</v>
      </c>
      <c r="E7" s="83"/>
      <c r="F7" s="33" t="s">
        <v>10</v>
      </c>
      <c r="G7" s="33" t="s">
        <v>16</v>
      </c>
      <c r="K7" s="6"/>
      <c r="L7" s="6"/>
    </row>
    <row r="8" spans="1:12">
      <c r="B8" s="34" t="s">
        <v>17</v>
      </c>
      <c r="C8" s="35" t="s">
        <v>34</v>
      </c>
      <c r="D8" s="45" t="s">
        <v>19</v>
      </c>
      <c r="E8" s="44"/>
      <c r="F8" s="36" t="s">
        <v>22</v>
      </c>
      <c r="G8" s="36" t="s">
        <v>18</v>
      </c>
      <c r="K8" s="6"/>
      <c r="L8" s="6"/>
    </row>
    <row r="9" spans="1:12">
      <c r="B9" s="23"/>
      <c r="C9" s="20"/>
      <c r="D9" s="21"/>
      <c r="G9" s="10"/>
      <c r="K9" s="6"/>
      <c r="L9" s="6"/>
    </row>
    <row r="11" spans="1:12">
      <c r="A11" s="10"/>
      <c r="B11" s="77"/>
      <c r="C11" s="77" t="s">
        <v>7</v>
      </c>
      <c r="D11" s="77" t="s">
        <v>8</v>
      </c>
      <c r="E11" s="77"/>
      <c r="F11" s="77"/>
      <c r="G11" s="77" t="s">
        <v>9</v>
      </c>
      <c r="H11" s="84" t="s">
        <v>23</v>
      </c>
      <c r="I11" s="76" t="s">
        <v>32</v>
      </c>
      <c r="J11" s="76"/>
      <c r="K11" s="76" t="s">
        <v>31</v>
      </c>
      <c r="L11" s="10"/>
    </row>
    <row r="12" spans="1:12">
      <c r="A12" s="10"/>
      <c r="B12" s="77"/>
      <c r="C12" s="77"/>
      <c r="D12" s="77"/>
      <c r="E12" s="77"/>
      <c r="F12" s="77"/>
      <c r="G12" s="77"/>
      <c r="H12" s="85"/>
      <c r="I12" s="28" t="s">
        <v>25</v>
      </c>
      <c r="J12" s="28" t="s">
        <v>6</v>
      </c>
      <c r="K12" s="77"/>
      <c r="L12" s="10"/>
    </row>
    <row r="13" spans="1:12" ht="63">
      <c r="A13" s="10"/>
      <c r="B13" s="19"/>
      <c r="C13" s="19" t="s">
        <v>3</v>
      </c>
      <c r="D13" s="78" t="s">
        <v>44</v>
      </c>
      <c r="E13" s="79"/>
      <c r="F13" s="80"/>
      <c r="G13" s="55" t="s">
        <v>45</v>
      </c>
      <c r="H13" s="19"/>
      <c r="I13" s="49" t="s">
        <v>28</v>
      </c>
      <c r="J13" s="56">
        <v>1.0416666666666666E-2</v>
      </c>
      <c r="K13" s="19"/>
      <c r="L13" s="10"/>
    </row>
  </sheetData>
  <mergeCells count="11">
    <mergeCell ref="K11:K12"/>
    <mergeCell ref="D13:F13"/>
    <mergeCell ref="B4:C4"/>
    <mergeCell ref="B5:K5"/>
    <mergeCell ref="D7:E7"/>
    <mergeCell ref="B11:B12"/>
    <mergeCell ref="C11:C12"/>
    <mergeCell ref="D11:F12"/>
    <mergeCell ref="G11:G12"/>
    <mergeCell ref="H11:H12"/>
    <mergeCell ref="I11:J11"/>
  </mergeCells>
  <phoneticPr fontId="3"/>
  <pageMargins left="0.7" right="0.7" top="0.75" bottom="0.75" header="0.3" footer="0.3"/>
  <pageSetup paperSize="9" scale="31"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master!#REF!</xm:f>
          </x14:formula1>
          <xm:sqref>H13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N59"/>
  <sheetViews>
    <sheetView showGridLines="0" view="pageBreakPreview" topLeftCell="A23" zoomScale="90" zoomScaleNormal="100" zoomScaleSheetLayoutView="90" workbookViewId="0">
      <selection activeCell="J17" sqref="J17:J27"/>
    </sheetView>
  </sheetViews>
  <sheetFormatPr defaultColWidth="9" defaultRowHeight="15"/>
  <cols>
    <col min="1" max="1" width="4.33203125" style="1" customWidth="1"/>
    <col min="2" max="2" width="8.21875" style="1" customWidth="1"/>
    <col min="3" max="3" width="60.21875" style="1" bestFit="1" customWidth="1"/>
    <col min="4" max="4" width="23.44140625" style="1" bestFit="1" customWidth="1"/>
    <col min="5" max="5" width="32" style="1" customWidth="1"/>
    <col min="6" max="6" width="25.77734375" style="10" customWidth="1"/>
    <col min="7" max="7" width="9.6640625" style="10" bestFit="1" customWidth="1"/>
    <col min="8" max="8" width="7.109375" style="1" bestFit="1" customWidth="1"/>
    <col min="9" max="9" width="5.33203125" style="10" bestFit="1" customWidth="1"/>
    <col min="10" max="10" width="6" style="10" bestFit="1" customWidth="1"/>
    <col min="11" max="11" width="38.44140625" style="10" customWidth="1"/>
    <col min="12" max="12" width="6.44140625" style="1" customWidth="1"/>
    <col min="13" max="13" width="38.44140625" style="1" customWidth="1"/>
    <col min="14" max="14" width="4.6640625" style="1" customWidth="1"/>
    <col min="15" max="16384" width="9" style="6"/>
  </cols>
  <sheetData>
    <row r="2" spans="1:14" ht="36.75" customHeight="1">
      <c r="B2" s="2" t="s">
        <v>26</v>
      </c>
      <c r="C2" s="3"/>
      <c r="D2" s="3"/>
      <c r="E2" s="3"/>
      <c r="F2" s="4"/>
      <c r="G2" s="4"/>
      <c r="H2" s="3"/>
      <c r="I2" s="17"/>
      <c r="J2" s="17"/>
      <c r="K2" s="17"/>
      <c r="L2" s="9"/>
      <c r="M2" s="5"/>
    </row>
    <row r="3" spans="1:14">
      <c r="C3" s="7"/>
      <c r="D3" s="7"/>
      <c r="E3" s="7"/>
      <c r="F3" s="8"/>
      <c r="G3" s="8"/>
      <c r="H3" s="7"/>
      <c r="I3" s="18"/>
      <c r="J3" s="18"/>
      <c r="K3" s="18"/>
      <c r="L3" s="9"/>
      <c r="M3" s="9"/>
    </row>
    <row r="4" spans="1:14" ht="16.2">
      <c r="B4" s="81" t="s">
        <v>4</v>
      </c>
      <c r="C4" s="81"/>
      <c r="D4" s="81"/>
      <c r="E4" s="81"/>
      <c r="F4" s="8"/>
      <c r="G4" s="8"/>
      <c r="H4" s="7"/>
      <c r="I4" s="18"/>
      <c r="J4" s="18"/>
      <c r="K4" s="18"/>
      <c r="L4" s="9"/>
      <c r="M4" s="9"/>
    </row>
    <row r="5" spans="1:14" ht="36" customHeight="1">
      <c r="B5" s="91"/>
      <c r="C5" s="91"/>
      <c r="D5" s="91"/>
      <c r="E5" s="91"/>
      <c r="F5" s="91"/>
      <c r="G5" s="91"/>
      <c r="H5" s="91"/>
      <c r="I5" s="91"/>
      <c r="J5" s="91"/>
      <c r="K5" s="91"/>
      <c r="L5" s="29"/>
      <c r="M5" s="30"/>
    </row>
    <row r="6" spans="1:14" ht="32.4" customHeight="1">
      <c r="B6" s="91"/>
      <c r="C6" s="91"/>
      <c r="D6" s="91"/>
      <c r="E6" s="91"/>
      <c r="F6" s="91"/>
      <c r="G6" s="91"/>
      <c r="H6" s="91"/>
      <c r="I6" s="91"/>
      <c r="J6" s="91"/>
      <c r="K6" s="91"/>
      <c r="L6" s="29"/>
      <c r="M6" s="30"/>
    </row>
    <row r="7" spans="1:14">
      <c r="B7" s="10"/>
      <c r="C7" s="10"/>
      <c r="D7" s="10"/>
      <c r="E7" s="10"/>
      <c r="H7" s="10"/>
      <c r="L7" s="10"/>
      <c r="M7" s="10"/>
    </row>
    <row r="8" spans="1:14">
      <c r="B8" s="33" t="s">
        <v>14</v>
      </c>
      <c r="C8" s="33" t="s">
        <v>15</v>
      </c>
      <c r="D8" s="33" t="s">
        <v>30</v>
      </c>
      <c r="E8" s="33"/>
      <c r="F8" s="33" t="s">
        <v>10</v>
      </c>
      <c r="G8" s="33" t="s">
        <v>16</v>
      </c>
      <c r="I8" s="47"/>
      <c r="J8" s="6"/>
      <c r="K8" s="6"/>
      <c r="L8" s="6"/>
      <c r="M8" s="6"/>
      <c r="N8" s="6"/>
    </row>
    <row r="9" spans="1:14">
      <c r="B9" s="34" t="s">
        <v>35</v>
      </c>
      <c r="C9" s="59" t="s">
        <v>53</v>
      </c>
      <c r="D9" s="36" t="s">
        <v>19</v>
      </c>
      <c r="E9" s="36"/>
      <c r="F9" s="36" t="s">
        <v>21</v>
      </c>
      <c r="G9" s="36" t="s">
        <v>18</v>
      </c>
      <c r="K9" s="6"/>
      <c r="L9" s="6"/>
      <c r="M9" s="6"/>
      <c r="N9" s="6"/>
    </row>
    <row r="10" spans="1:14">
      <c r="B10" s="34" t="s">
        <v>36</v>
      </c>
      <c r="C10" s="59" t="s">
        <v>54</v>
      </c>
      <c r="D10" s="36" t="s">
        <v>19</v>
      </c>
      <c r="E10" s="36"/>
      <c r="F10" s="36" t="s">
        <v>21</v>
      </c>
      <c r="G10" s="36" t="s">
        <v>18</v>
      </c>
      <c r="K10" s="6"/>
      <c r="L10" s="6"/>
      <c r="M10" s="6"/>
      <c r="N10" s="6"/>
    </row>
    <row r="11" spans="1:14">
      <c r="B11" s="34" t="s">
        <v>46</v>
      </c>
      <c r="C11" s="36" t="s">
        <v>55</v>
      </c>
      <c r="D11" s="36" t="s">
        <v>19</v>
      </c>
      <c r="E11" s="36"/>
      <c r="F11" s="36" t="s">
        <v>21</v>
      </c>
      <c r="G11" s="36" t="s">
        <v>18</v>
      </c>
      <c r="K11" s="6"/>
      <c r="L11" s="6"/>
      <c r="M11" s="6"/>
      <c r="N11" s="6"/>
    </row>
    <row r="12" spans="1:14">
      <c r="B12" s="34" t="s">
        <v>96</v>
      </c>
      <c r="C12" s="36" t="s">
        <v>97</v>
      </c>
      <c r="D12" s="36" t="s">
        <v>19</v>
      </c>
      <c r="E12" s="36"/>
      <c r="F12" s="36" t="s">
        <v>21</v>
      </c>
      <c r="G12" s="36" t="s">
        <v>18</v>
      </c>
      <c r="K12" s="6"/>
      <c r="L12" s="6"/>
      <c r="M12" s="6"/>
      <c r="N12" s="6"/>
    </row>
    <row r="14" spans="1:14" ht="24" customHeight="1">
      <c r="A14" s="10"/>
      <c r="B14" s="77" t="s">
        <v>5</v>
      </c>
      <c r="C14" s="77" t="s">
        <v>7</v>
      </c>
      <c r="D14" s="77" t="s">
        <v>8</v>
      </c>
      <c r="E14" s="77"/>
      <c r="F14" s="77"/>
      <c r="G14" s="77" t="s">
        <v>9</v>
      </c>
      <c r="H14" s="76" t="s">
        <v>23</v>
      </c>
      <c r="I14" s="89" t="s">
        <v>32</v>
      </c>
      <c r="J14" s="90"/>
      <c r="K14" s="76" t="s">
        <v>33</v>
      </c>
      <c r="L14" s="6"/>
      <c r="M14" s="6"/>
      <c r="N14" s="6"/>
    </row>
    <row r="15" spans="1:14">
      <c r="A15" s="10"/>
      <c r="B15" s="77"/>
      <c r="C15" s="77"/>
      <c r="D15" s="77"/>
      <c r="E15" s="77"/>
      <c r="F15" s="77"/>
      <c r="G15" s="77"/>
      <c r="H15" s="76"/>
      <c r="I15" s="28" t="s">
        <v>25</v>
      </c>
      <c r="J15" s="28" t="s">
        <v>6</v>
      </c>
      <c r="K15" s="77"/>
      <c r="L15" s="6"/>
      <c r="M15" s="6"/>
      <c r="N15" s="6"/>
    </row>
    <row r="16" spans="1:14" ht="63">
      <c r="A16" s="10"/>
      <c r="B16" s="127" t="str">
        <f>master!B4</f>
        <v>導入</v>
      </c>
      <c r="C16" s="50" t="str">
        <f>master!C4</f>
        <v>はじめに　｜　“Be a social designer”とは</v>
      </c>
      <c r="D16" s="86" t="s">
        <v>134</v>
      </c>
      <c r="E16" s="87"/>
      <c r="F16" s="88"/>
      <c r="G16" s="50" t="s">
        <v>129</v>
      </c>
      <c r="H16" s="12"/>
      <c r="I16" s="48" t="s">
        <v>24</v>
      </c>
      <c r="J16" s="46">
        <v>2.0833333333333333E-3</v>
      </c>
      <c r="K16" s="43"/>
      <c r="L16" s="6"/>
      <c r="M16" s="6"/>
      <c r="N16" s="6"/>
    </row>
    <row r="17" spans="1:14" ht="102" customHeight="1">
      <c r="A17" s="10"/>
      <c r="B17" s="124" t="str">
        <f>master!B5</f>
        <v>企画提案のステップ</v>
      </c>
      <c r="C17" s="50" t="str">
        <f>master!C5</f>
        <v>企画提案のステップ</v>
      </c>
      <c r="D17" s="86" t="s">
        <v>135</v>
      </c>
      <c r="E17" s="87"/>
      <c r="F17" s="88"/>
      <c r="G17" s="50" t="s">
        <v>38</v>
      </c>
      <c r="H17" s="12"/>
      <c r="I17" s="48" t="s">
        <v>24</v>
      </c>
      <c r="J17" s="46">
        <v>2.0833333333333333E-3</v>
      </c>
      <c r="K17" s="43"/>
      <c r="L17" s="6"/>
      <c r="M17" s="6"/>
      <c r="N17" s="6"/>
    </row>
    <row r="18" spans="1:14" ht="176.4">
      <c r="A18" s="11"/>
      <c r="B18" s="125"/>
      <c r="C18" s="50" t="str">
        <f>master!C6</f>
        <v>STEP①-1　日常の不便を考える</v>
      </c>
      <c r="D18" s="86" t="s">
        <v>138</v>
      </c>
      <c r="E18" s="87"/>
      <c r="F18" s="88"/>
      <c r="G18" s="50" t="s">
        <v>50</v>
      </c>
      <c r="H18" s="12"/>
      <c r="I18" s="48" t="s">
        <v>24</v>
      </c>
      <c r="J18" s="46">
        <v>3.472222222222222E-3</v>
      </c>
      <c r="K18" s="43"/>
      <c r="L18" s="6"/>
      <c r="M18" s="6"/>
      <c r="N18" s="6"/>
    </row>
    <row r="19" spans="1:14" ht="37.799999999999997">
      <c r="A19" s="11"/>
      <c r="B19" s="125"/>
      <c r="C19" s="50" t="str">
        <f>master!C7</f>
        <v>STEP①-2　課題の深掘り</v>
      </c>
      <c r="D19" s="86" t="s">
        <v>136</v>
      </c>
      <c r="E19" s="87"/>
      <c r="F19" s="88"/>
      <c r="G19" s="50" t="s">
        <v>38</v>
      </c>
      <c r="H19" s="12"/>
      <c r="I19" s="48" t="s">
        <v>24</v>
      </c>
      <c r="J19" s="46">
        <v>1.3888888888888889E-3</v>
      </c>
      <c r="K19" s="43"/>
      <c r="L19" s="6"/>
      <c r="M19" s="6"/>
      <c r="N19" s="6"/>
    </row>
    <row r="20" spans="1:14" ht="151.19999999999999">
      <c r="A20" s="11"/>
      <c r="B20" s="125"/>
      <c r="C20" s="50" t="str">
        <f>master!C8</f>
        <v>STEP①-3　ITアイデアへ落とし込む</v>
      </c>
      <c r="D20" s="86" t="s">
        <v>137</v>
      </c>
      <c r="E20" s="87"/>
      <c r="F20" s="88"/>
      <c r="G20" s="50" t="s">
        <v>47</v>
      </c>
      <c r="H20" s="12"/>
      <c r="I20" s="48" t="s">
        <v>24</v>
      </c>
      <c r="J20" s="46">
        <v>2.0833333333333333E-3</v>
      </c>
      <c r="K20" s="43"/>
      <c r="L20" s="6"/>
      <c r="M20" s="6"/>
      <c r="N20" s="6"/>
    </row>
    <row r="21" spans="1:14" ht="252">
      <c r="A21" s="11"/>
      <c r="B21" s="125"/>
      <c r="C21" s="50" t="str">
        <f>master!C9</f>
        <v>STEP②-1 創出したアイデアに関する調査・確認</v>
      </c>
      <c r="D21" s="86" t="s">
        <v>139</v>
      </c>
      <c r="E21" s="87"/>
      <c r="F21" s="88"/>
      <c r="G21" s="50" t="s">
        <v>51</v>
      </c>
      <c r="H21" s="12"/>
      <c r="I21" s="48" t="s">
        <v>24</v>
      </c>
      <c r="J21" s="46">
        <v>0</v>
      </c>
      <c r="K21" s="43"/>
      <c r="L21" s="6"/>
      <c r="M21" s="6"/>
      <c r="N21" s="6"/>
    </row>
    <row r="22" spans="1:14" ht="126">
      <c r="A22" s="11"/>
      <c r="B22" s="125"/>
      <c r="C22" s="50" t="str">
        <f>master!C10</f>
        <v>STEP②-2 環境分析</v>
      </c>
      <c r="D22" s="86" t="s">
        <v>140</v>
      </c>
      <c r="E22" s="87"/>
      <c r="F22" s="88"/>
      <c r="G22" s="50" t="s">
        <v>49</v>
      </c>
      <c r="H22" s="12"/>
      <c r="I22" s="48" t="s">
        <v>24</v>
      </c>
      <c r="J22" s="46">
        <v>2.0833333333333333E-3</v>
      </c>
      <c r="K22" s="43"/>
      <c r="L22" s="6"/>
      <c r="M22" s="6"/>
      <c r="N22" s="6"/>
    </row>
    <row r="23" spans="1:14" ht="63">
      <c r="A23" s="11"/>
      <c r="B23" s="125"/>
      <c r="C23" s="50" t="str">
        <f>master!C11</f>
        <v>（参考）PEST分析</v>
      </c>
      <c r="D23" s="86" t="s">
        <v>141</v>
      </c>
      <c r="E23" s="87"/>
      <c r="F23" s="88"/>
      <c r="G23" s="50" t="s">
        <v>129</v>
      </c>
      <c r="H23" s="12"/>
      <c r="I23" s="48" t="s">
        <v>24</v>
      </c>
      <c r="J23" s="46">
        <v>1.3888888888888889E-3</v>
      </c>
      <c r="K23" s="43"/>
      <c r="L23" s="6"/>
      <c r="M23" s="6"/>
      <c r="N23" s="6"/>
    </row>
    <row r="24" spans="1:14" ht="75.599999999999994">
      <c r="A24" s="11"/>
      <c r="B24" s="125"/>
      <c r="C24" s="50" t="str">
        <f>master!C12</f>
        <v>（参考） 3C分析</v>
      </c>
      <c r="D24" s="86" t="s">
        <v>142</v>
      </c>
      <c r="E24" s="87"/>
      <c r="F24" s="88"/>
      <c r="G24" s="50" t="s">
        <v>39</v>
      </c>
      <c r="H24" s="12"/>
      <c r="I24" s="48" t="s">
        <v>24</v>
      </c>
      <c r="J24" s="46">
        <v>1.3888888888888889E-3</v>
      </c>
      <c r="K24" s="43"/>
      <c r="L24" s="6"/>
      <c r="M24" s="6"/>
      <c r="N24" s="6"/>
    </row>
    <row r="25" spans="1:14" ht="75.599999999999994">
      <c r="A25" s="11"/>
      <c r="B25" s="125"/>
      <c r="C25" s="50" t="str">
        <f>master!C13</f>
        <v>（参考） SWOT分析</v>
      </c>
      <c r="D25" s="86" t="s">
        <v>143</v>
      </c>
      <c r="E25" s="87"/>
      <c r="F25" s="88"/>
      <c r="G25" s="50" t="s">
        <v>39</v>
      </c>
      <c r="H25" s="12"/>
      <c r="I25" s="48" t="s">
        <v>24</v>
      </c>
      <c r="J25" s="46">
        <v>1.3888888888888889E-3</v>
      </c>
      <c r="K25" s="43"/>
      <c r="L25" s="6"/>
      <c r="M25" s="6"/>
      <c r="N25" s="6"/>
    </row>
    <row r="26" spans="1:14" ht="113.4">
      <c r="A26" s="11"/>
      <c r="B26" s="125"/>
      <c r="C26" s="50" t="str">
        <f>master!C14</f>
        <v>STEP③-1 提案書作成</v>
      </c>
      <c r="D26" s="86" t="s">
        <v>144</v>
      </c>
      <c r="E26" s="87"/>
      <c r="F26" s="88"/>
      <c r="G26" s="50" t="s">
        <v>40</v>
      </c>
      <c r="H26" s="12"/>
      <c r="I26" s="48" t="s">
        <v>24</v>
      </c>
      <c r="J26" s="46">
        <v>1.3888888888888889E-3</v>
      </c>
      <c r="K26" s="43"/>
      <c r="L26" s="6"/>
      <c r="M26" s="6"/>
      <c r="N26" s="6"/>
    </row>
    <row r="27" spans="1:14" ht="88.2">
      <c r="A27" s="11"/>
      <c r="B27" s="126"/>
      <c r="C27" s="50" t="str">
        <f>master!C15</f>
        <v>STEP③-2 プロトタイプ作成</v>
      </c>
      <c r="D27" s="86" t="s">
        <v>145</v>
      </c>
      <c r="E27" s="87"/>
      <c r="F27" s="88"/>
      <c r="G27" s="50" t="s">
        <v>41</v>
      </c>
      <c r="H27" s="12"/>
      <c r="I27" s="48" t="s">
        <v>24</v>
      </c>
      <c r="J27" s="46">
        <v>1.3888888888888889E-3</v>
      </c>
      <c r="K27" s="43"/>
      <c r="L27" s="6"/>
      <c r="M27" s="6"/>
      <c r="N27" s="6"/>
    </row>
    <row r="28" spans="1:14" ht="113.4">
      <c r="A28" s="11"/>
      <c r="B28" s="127" t="str">
        <f>master!B16</f>
        <v>まとめ</v>
      </c>
      <c r="C28" s="50" t="str">
        <f>master!C16</f>
        <v>まとめ</v>
      </c>
      <c r="D28" s="86" t="s">
        <v>146</v>
      </c>
      <c r="E28" s="87"/>
      <c r="F28" s="88"/>
      <c r="G28" s="50" t="s">
        <v>40</v>
      </c>
      <c r="H28" s="12"/>
      <c r="I28" s="48" t="s">
        <v>24</v>
      </c>
      <c r="J28" s="46">
        <v>1.3888888888888889E-3</v>
      </c>
      <c r="K28" s="43"/>
      <c r="L28" s="6"/>
      <c r="M28" s="6"/>
      <c r="N28" s="6"/>
    </row>
    <row r="29" spans="1:14" ht="25.2">
      <c r="A29" s="11"/>
      <c r="B29" s="124" t="str">
        <f>master!B18</f>
        <v>提案書サンプル</v>
      </c>
      <c r="C29" s="50" t="str">
        <f>master!C18</f>
        <v>１．サマリ</v>
      </c>
      <c r="D29" s="86" t="s">
        <v>149</v>
      </c>
      <c r="E29" s="87"/>
      <c r="F29" s="88"/>
      <c r="G29" s="50" t="s">
        <v>98</v>
      </c>
      <c r="H29" s="12"/>
      <c r="I29" s="48" t="s">
        <v>24</v>
      </c>
      <c r="J29" s="46">
        <v>6.9444444444444447E-4</v>
      </c>
      <c r="K29" s="43"/>
      <c r="L29" s="6"/>
      <c r="M29" s="6"/>
      <c r="N29" s="6"/>
    </row>
    <row r="30" spans="1:14" ht="25.2">
      <c r="A30" s="11"/>
      <c r="B30" s="125"/>
      <c r="C30" s="50" t="str">
        <f>master!C19</f>
        <v>２．背景</v>
      </c>
      <c r="D30" s="86" t="s">
        <v>148</v>
      </c>
      <c r="E30" s="87"/>
      <c r="F30" s="88"/>
      <c r="G30" s="50" t="s">
        <v>98</v>
      </c>
      <c r="H30" s="12"/>
      <c r="I30" s="48" t="s">
        <v>24</v>
      </c>
      <c r="J30" s="46">
        <v>1.3888888888888889E-3</v>
      </c>
      <c r="K30" s="43"/>
      <c r="L30" s="6"/>
      <c r="M30" s="6"/>
      <c r="N30" s="6"/>
    </row>
    <row r="31" spans="1:14" ht="25.2">
      <c r="A31" s="11"/>
      <c r="B31" s="125"/>
      <c r="C31" s="50" t="str">
        <f>master!C20</f>
        <v>３．現状課題</v>
      </c>
      <c r="D31" s="86" t="s">
        <v>147</v>
      </c>
      <c r="E31" s="87"/>
      <c r="F31" s="88"/>
      <c r="G31" s="50" t="s">
        <v>98</v>
      </c>
      <c r="H31" s="12"/>
      <c r="I31" s="48" t="s">
        <v>24</v>
      </c>
      <c r="J31" s="46">
        <v>1.3888888888888889E-3</v>
      </c>
      <c r="K31" s="43"/>
      <c r="L31" s="6"/>
      <c r="M31" s="6"/>
      <c r="N31" s="6"/>
    </row>
    <row r="32" spans="1:14" ht="63">
      <c r="A32" s="11"/>
      <c r="B32" s="125"/>
      <c r="C32" s="50" t="str">
        <f>master!C21</f>
        <v>４．業界動向・市場分析</v>
      </c>
      <c r="D32" s="86" t="s">
        <v>158</v>
      </c>
      <c r="E32" s="87"/>
      <c r="F32" s="88"/>
      <c r="G32" s="50" t="s">
        <v>153</v>
      </c>
      <c r="H32" s="12"/>
      <c r="I32" s="48" t="s">
        <v>24</v>
      </c>
      <c r="J32" s="46">
        <v>1.3888888888888889E-3</v>
      </c>
      <c r="K32" s="43"/>
      <c r="L32" s="6"/>
      <c r="M32" s="6"/>
      <c r="N32" s="6"/>
    </row>
    <row r="33" spans="1:14" ht="50.4">
      <c r="A33" s="11"/>
      <c r="B33" s="125"/>
      <c r="C33" s="50" t="str">
        <f>master!C22</f>
        <v>５．市場機会</v>
      </c>
      <c r="D33" s="86" t="s">
        <v>161</v>
      </c>
      <c r="E33" s="87"/>
      <c r="F33" s="88"/>
      <c r="G33" s="50" t="s">
        <v>156</v>
      </c>
      <c r="H33" s="12"/>
      <c r="I33" s="48" t="s">
        <v>24</v>
      </c>
      <c r="J33" s="46">
        <v>1.3888888888888889E-3</v>
      </c>
      <c r="K33" s="43"/>
      <c r="L33" s="6"/>
      <c r="M33" s="6"/>
      <c r="N33" s="6"/>
    </row>
    <row r="34" spans="1:14" ht="37.799999999999997">
      <c r="A34" s="11"/>
      <c r="B34" s="125"/>
      <c r="C34" s="50" t="str">
        <f>master!C23</f>
        <v>６．サービス概要</v>
      </c>
      <c r="D34" s="86" t="s">
        <v>159</v>
      </c>
      <c r="E34" s="87"/>
      <c r="F34" s="88"/>
      <c r="G34" s="50" t="s">
        <v>152</v>
      </c>
      <c r="H34" s="12"/>
      <c r="I34" s="48" t="s">
        <v>24</v>
      </c>
      <c r="J34" s="46">
        <v>1.3888888888888889E-3</v>
      </c>
      <c r="K34" s="43"/>
      <c r="L34" s="6"/>
      <c r="M34" s="6"/>
      <c r="N34" s="6"/>
    </row>
    <row r="35" spans="1:14" ht="50.4">
      <c r="A35" s="11"/>
      <c r="B35" s="125"/>
      <c r="C35" s="50" t="str">
        <f>master!C24</f>
        <v>７．利用者体験イメージ</v>
      </c>
      <c r="D35" s="86" t="s">
        <v>157</v>
      </c>
      <c r="E35" s="87"/>
      <c r="F35" s="88"/>
      <c r="G35" s="50" t="s">
        <v>156</v>
      </c>
      <c r="H35" s="12"/>
      <c r="I35" s="48" t="s">
        <v>24</v>
      </c>
      <c r="J35" s="46">
        <v>1.3888888888888889E-3</v>
      </c>
      <c r="K35" s="43"/>
      <c r="L35" s="6"/>
      <c r="M35" s="6"/>
      <c r="N35" s="6"/>
    </row>
    <row r="36" spans="1:14" ht="25.2">
      <c r="A36" s="11"/>
      <c r="B36" s="125"/>
      <c r="C36" s="50" t="str">
        <f>master!C25</f>
        <v>８．事業構成</v>
      </c>
      <c r="D36" s="86" t="s">
        <v>150</v>
      </c>
      <c r="E36" s="87"/>
      <c r="F36" s="88"/>
      <c r="G36" s="50" t="s">
        <v>98</v>
      </c>
      <c r="H36" s="12"/>
      <c r="I36" s="48" t="s">
        <v>24</v>
      </c>
      <c r="J36" s="46">
        <v>1.3888888888888889E-3</v>
      </c>
      <c r="K36" s="43"/>
      <c r="L36" s="6"/>
      <c r="M36" s="6"/>
      <c r="N36" s="6"/>
    </row>
    <row r="37" spans="1:14" ht="37.799999999999997">
      <c r="A37" s="11"/>
      <c r="B37" s="125"/>
      <c r="C37" s="50" t="str">
        <f>master!C26</f>
        <v>９．提供価値</v>
      </c>
      <c r="D37" s="86" t="s">
        <v>151</v>
      </c>
      <c r="E37" s="87"/>
      <c r="F37" s="88"/>
      <c r="G37" s="50" t="s">
        <v>152</v>
      </c>
      <c r="H37" s="12"/>
      <c r="I37" s="48" t="s">
        <v>24</v>
      </c>
      <c r="J37" s="46">
        <v>1.3888888888888889E-3</v>
      </c>
      <c r="K37" s="43"/>
      <c r="L37" s="6"/>
      <c r="M37" s="6"/>
      <c r="N37" s="6"/>
    </row>
    <row r="38" spans="1:14" ht="63">
      <c r="A38" s="11"/>
      <c r="B38" s="125"/>
      <c r="C38" s="50" t="str">
        <f>master!C27</f>
        <v>１０．収益モデル</v>
      </c>
      <c r="D38" s="86" t="s">
        <v>155</v>
      </c>
      <c r="E38" s="87"/>
      <c r="F38" s="88"/>
      <c r="G38" s="50" t="s">
        <v>153</v>
      </c>
      <c r="H38" s="12"/>
      <c r="I38" s="48" t="s">
        <v>24</v>
      </c>
      <c r="J38" s="46">
        <v>1.3888888888888889E-3</v>
      </c>
      <c r="K38" s="43"/>
      <c r="L38" s="6"/>
      <c r="M38" s="6"/>
      <c r="N38" s="6"/>
    </row>
    <row r="39" spans="1:14" ht="63">
      <c r="A39" s="11"/>
      <c r="B39" s="125"/>
      <c r="C39" s="50" t="str">
        <f>master!C28</f>
        <v>１１．リスク・課題</v>
      </c>
      <c r="D39" s="86" t="s">
        <v>154</v>
      </c>
      <c r="E39" s="87"/>
      <c r="F39" s="88"/>
      <c r="G39" s="50" t="s">
        <v>153</v>
      </c>
      <c r="H39" s="12"/>
      <c r="I39" s="48" t="s">
        <v>24</v>
      </c>
      <c r="J39" s="46">
        <v>1.3888888888888889E-3</v>
      </c>
      <c r="K39" s="43"/>
      <c r="L39" s="6"/>
      <c r="M39" s="6"/>
      <c r="N39" s="6"/>
    </row>
    <row r="40" spans="1:14" ht="25.2">
      <c r="A40" s="11"/>
      <c r="B40" s="126"/>
      <c r="C40" s="50" t="str">
        <f>master!C29</f>
        <v>１２．今後の展望</v>
      </c>
      <c r="D40" s="86" t="s">
        <v>160</v>
      </c>
      <c r="E40" s="87"/>
      <c r="F40" s="88"/>
      <c r="G40" s="50" t="s">
        <v>98</v>
      </c>
      <c r="H40" s="12"/>
      <c r="I40" s="48" t="s">
        <v>24</v>
      </c>
      <c r="J40" s="46">
        <v>6.9444444444444447E-4</v>
      </c>
      <c r="K40" s="43"/>
      <c r="L40" s="6"/>
      <c r="M40" s="6"/>
      <c r="N40" s="6"/>
    </row>
    <row r="41" spans="1:14" ht="113.4">
      <c r="A41" s="11"/>
      <c r="B41" s="121" t="str">
        <f>master!B31</f>
        <v>個人演習</v>
      </c>
      <c r="C41" s="92" t="str">
        <f>master!C31</f>
        <v>演習内容の説明</v>
      </c>
      <c r="D41" s="93" t="s">
        <v>123</v>
      </c>
      <c r="E41" s="94"/>
      <c r="F41" s="95"/>
      <c r="G41" s="92" t="s">
        <v>104</v>
      </c>
      <c r="H41" s="96"/>
      <c r="I41" s="97" t="s">
        <v>24</v>
      </c>
      <c r="J41" s="98">
        <v>1.3888888888888889E-3</v>
      </c>
      <c r="K41" s="99"/>
      <c r="L41" s="6"/>
      <c r="M41" s="6"/>
      <c r="N41" s="6"/>
    </row>
    <row r="42" spans="1:14" ht="201.6">
      <c r="A42" s="11"/>
      <c r="B42" s="122"/>
      <c r="C42" s="92" t="str">
        <f>master!C32</f>
        <v>演習成果物の説明</v>
      </c>
      <c r="D42" s="93" t="s">
        <v>118</v>
      </c>
      <c r="E42" s="94"/>
      <c r="F42" s="95"/>
      <c r="G42" s="92" t="s">
        <v>106</v>
      </c>
      <c r="H42" s="96"/>
      <c r="I42" s="97" t="s">
        <v>24</v>
      </c>
      <c r="J42" s="98">
        <v>1.3888888888888889E-3</v>
      </c>
      <c r="K42" s="99"/>
      <c r="L42" s="6"/>
      <c r="M42" s="6"/>
      <c r="N42" s="6"/>
    </row>
    <row r="43" spans="1:14" ht="176.4">
      <c r="A43" s="11"/>
      <c r="B43" s="122"/>
      <c r="C43" s="92" t="str">
        <f>master!C33</f>
        <v>サービスの検討</v>
      </c>
      <c r="D43" s="93" t="s">
        <v>115</v>
      </c>
      <c r="E43" s="94"/>
      <c r="F43" s="95"/>
      <c r="G43" s="92" t="s">
        <v>108</v>
      </c>
      <c r="H43" s="96"/>
      <c r="I43" s="97" t="s">
        <v>24</v>
      </c>
      <c r="J43" s="98">
        <v>1.3888888888888888E-2</v>
      </c>
      <c r="K43" s="99"/>
      <c r="L43" s="6"/>
      <c r="M43" s="6"/>
      <c r="N43" s="6"/>
    </row>
    <row r="44" spans="1:14" ht="138.6">
      <c r="A44" s="11"/>
      <c r="B44" s="122"/>
      <c r="C44" s="92" t="str">
        <f>master!C34</f>
        <v>サービスのブラッシュアップ</v>
      </c>
      <c r="D44" s="93" t="s">
        <v>114</v>
      </c>
      <c r="E44" s="94"/>
      <c r="F44" s="95"/>
      <c r="G44" s="92" t="s">
        <v>110</v>
      </c>
      <c r="H44" s="96"/>
      <c r="I44" s="97" t="s">
        <v>24</v>
      </c>
      <c r="J44" s="98">
        <v>2.0833333333333332E-2</v>
      </c>
      <c r="K44" s="99"/>
      <c r="L44" s="6"/>
      <c r="M44" s="6"/>
      <c r="N44" s="6"/>
    </row>
    <row r="45" spans="1:14" ht="63">
      <c r="A45" s="11"/>
      <c r="B45" s="122"/>
      <c r="C45" s="92" t="str">
        <f>master!C35</f>
        <v>サービスの決定</v>
      </c>
      <c r="D45" s="93" t="s">
        <v>113</v>
      </c>
      <c r="E45" s="94"/>
      <c r="F45" s="95"/>
      <c r="G45" s="92" t="s">
        <v>107</v>
      </c>
      <c r="H45" s="96"/>
      <c r="I45" s="97" t="s">
        <v>24</v>
      </c>
      <c r="J45" s="98">
        <v>2.0833333333333332E-2</v>
      </c>
      <c r="K45" s="99"/>
      <c r="L45" s="6"/>
      <c r="M45" s="6"/>
      <c r="N45" s="6"/>
    </row>
    <row r="46" spans="1:14" ht="138.6">
      <c r="A46" s="11"/>
      <c r="B46" s="122"/>
      <c r="C46" s="92" t="str">
        <f>master!C36</f>
        <v>成果物の作成</v>
      </c>
      <c r="D46" s="93" t="s">
        <v>112</v>
      </c>
      <c r="E46" s="94"/>
      <c r="F46" s="95"/>
      <c r="G46" s="92" t="s">
        <v>110</v>
      </c>
      <c r="H46" s="96"/>
      <c r="I46" s="97" t="s">
        <v>24</v>
      </c>
      <c r="J46" s="98" t="s">
        <v>162</v>
      </c>
      <c r="K46" s="99"/>
      <c r="L46" s="6"/>
      <c r="M46" s="6"/>
      <c r="N46" s="6"/>
    </row>
    <row r="47" spans="1:14" ht="25.2">
      <c r="A47" s="11"/>
      <c r="B47" s="123"/>
      <c r="C47" s="92" t="str">
        <f>master!C37</f>
        <v>成果物の提出</v>
      </c>
      <c r="D47" s="93" t="s">
        <v>111</v>
      </c>
      <c r="E47" s="94"/>
      <c r="F47" s="95"/>
      <c r="G47" s="92" t="s">
        <v>116</v>
      </c>
      <c r="H47" s="96"/>
      <c r="I47" s="97" t="s">
        <v>24</v>
      </c>
      <c r="J47" s="98" t="s">
        <v>162</v>
      </c>
      <c r="K47" s="99"/>
      <c r="L47" s="6"/>
      <c r="M47" s="6"/>
      <c r="N47" s="6"/>
    </row>
    <row r="48" spans="1:14" ht="100.8">
      <c r="A48" s="11"/>
      <c r="B48" s="121" t="str">
        <f>master!B39</f>
        <v>チーム演習</v>
      </c>
      <c r="C48" s="92" t="str">
        <f>master!C39</f>
        <v>演習内容の説明</v>
      </c>
      <c r="D48" s="93" t="s">
        <v>122</v>
      </c>
      <c r="E48" s="94"/>
      <c r="F48" s="95"/>
      <c r="G48" s="92" t="s">
        <v>43</v>
      </c>
      <c r="H48" s="96"/>
      <c r="I48" s="97" t="s">
        <v>24</v>
      </c>
      <c r="J48" s="98">
        <v>1.3888888888888889E-3</v>
      </c>
      <c r="K48" s="99"/>
      <c r="L48" s="6"/>
      <c r="M48" s="6"/>
      <c r="N48" s="6"/>
    </row>
    <row r="49" spans="1:14" ht="201.6">
      <c r="A49" s="11"/>
      <c r="B49" s="122"/>
      <c r="C49" s="92" t="str">
        <f>master!C40</f>
        <v>演習成果物の説明</v>
      </c>
      <c r="D49" s="93" t="s">
        <v>117</v>
      </c>
      <c r="E49" s="94"/>
      <c r="F49" s="95"/>
      <c r="G49" s="92" t="s">
        <v>48</v>
      </c>
      <c r="H49" s="96"/>
      <c r="I49" s="97" t="s">
        <v>24</v>
      </c>
      <c r="J49" s="98">
        <v>1.3888888888888889E-3</v>
      </c>
      <c r="K49" s="99"/>
      <c r="L49" s="6"/>
      <c r="M49" s="6"/>
      <c r="N49" s="6"/>
    </row>
    <row r="50" spans="1:14" ht="25.2">
      <c r="A50" s="11"/>
      <c r="B50" s="122"/>
      <c r="C50" s="92" t="str">
        <f>master!C41</f>
        <v>【参考】最終発表時の評価基準</v>
      </c>
      <c r="D50" s="93" t="s">
        <v>119</v>
      </c>
      <c r="E50" s="94"/>
      <c r="F50" s="95"/>
      <c r="G50" s="92" t="s">
        <v>42</v>
      </c>
      <c r="H50" s="96"/>
      <c r="I50" s="97" t="s">
        <v>24</v>
      </c>
      <c r="J50" s="98">
        <v>1.3888888888888889E-3</v>
      </c>
      <c r="K50" s="99"/>
      <c r="L50" s="6"/>
      <c r="M50" s="6"/>
      <c r="N50" s="6"/>
    </row>
    <row r="51" spans="1:14" ht="113.4">
      <c r="A51" s="11"/>
      <c r="B51" s="122"/>
      <c r="C51" s="92" t="str">
        <f>master!C42</f>
        <v>サービスの提案</v>
      </c>
      <c r="D51" s="93" t="s">
        <v>124</v>
      </c>
      <c r="E51" s="94"/>
      <c r="F51" s="95"/>
      <c r="G51" s="92" t="s">
        <v>40</v>
      </c>
      <c r="H51" s="96"/>
      <c r="I51" s="97" t="s">
        <v>24</v>
      </c>
      <c r="J51" s="98">
        <v>4.1666666666666664E-2</v>
      </c>
      <c r="K51" s="99"/>
      <c r="L51" s="6"/>
      <c r="M51" s="6"/>
      <c r="N51" s="6"/>
    </row>
    <row r="52" spans="1:14" ht="100.8">
      <c r="A52" s="11"/>
      <c r="B52" s="122"/>
      <c r="C52" s="92" t="str">
        <f>master!C43</f>
        <v>サービスの決定（チーム）</v>
      </c>
      <c r="D52" s="93" t="s">
        <v>125</v>
      </c>
      <c r="E52" s="94"/>
      <c r="F52" s="95"/>
      <c r="G52" s="92" t="s">
        <v>43</v>
      </c>
      <c r="H52" s="96"/>
      <c r="I52" s="97" t="s">
        <v>24</v>
      </c>
      <c r="J52" s="98" t="s">
        <v>162</v>
      </c>
      <c r="K52" s="99"/>
      <c r="L52" s="6"/>
      <c r="M52" s="6"/>
      <c r="N52" s="6"/>
    </row>
    <row r="53" spans="1:14" ht="113.4">
      <c r="A53" s="11"/>
      <c r="B53" s="122"/>
      <c r="C53" s="92" t="str">
        <f>master!C44</f>
        <v>成果物の作成</v>
      </c>
      <c r="D53" s="93" t="s">
        <v>126</v>
      </c>
      <c r="E53" s="94"/>
      <c r="F53" s="95"/>
      <c r="G53" s="92" t="s">
        <v>40</v>
      </c>
      <c r="H53" s="96"/>
      <c r="I53" s="97" t="s">
        <v>24</v>
      </c>
      <c r="J53" s="98" t="s">
        <v>162</v>
      </c>
      <c r="K53" s="99"/>
      <c r="L53" s="6"/>
      <c r="M53" s="6"/>
      <c r="N53" s="6"/>
    </row>
    <row r="54" spans="1:14" ht="25.2">
      <c r="A54" s="11"/>
      <c r="B54" s="122"/>
      <c r="C54" s="92" t="str">
        <f>master!C45</f>
        <v>成果物の提出</v>
      </c>
      <c r="D54" s="93" t="s">
        <v>111</v>
      </c>
      <c r="E54" s="94"/>
      <c r="F54" s="95"/>
      <c r="G54" s="92" t="s">
        <v>42</v>
      </c>
      <c r="H54" s="96"/>
      <c r="I54" s="97" t="s">
        <v>24</v>
      </c>
      <c r="J54" s="98" t="s">
        <v>162</v>
      </c>
      <c r="K54" s="99"/>
      <c r="L54" s="6"/>
      <c r="M54" s="6"/>
      <c r="N54" s="6"/>
    </row>
    <row r="55" spans="1:14" ht="25.2">
      <c r="A55" s="11"/>
      <c r="B55" s="123"/>
      <c r="C55" s="92" t="str">
        <f>master!C46</f>
        <v>発表のリハーサル</v>
      </c>
      <c r="D55" s="93" t="s">
        <v>128</v>
      </c>
      <c r="E55" s="94"/>
      <c r="F55" s="95"/>
      <c r="G55" s="92" t="s">
        <v>42</v>
      </c>
      <c r="H55" s="96"/>
      <c r="I55" s="97" t="s">
        <v>24</v>
      </c>
      <c r="J55" s="98" t="s">
        <v>162</v>
      </c>
      <c r="K55" s="99"/>
      <c r="L55" s="6"/>
      <c r="M55" s="6"/>
      <c r="N55" s="6"/>
    </row>
    <row r="56" spans="1:14" ht="100.8">
      <c r="A56" s="11"/>
      <c r="B56" s="102" t="str">
        <f>master!B48</f>
        <v>発表会（ブロック代表の決定）</v>
      </c>
      <c r="C56" s="103" t="str">
        <f>master!C48</f>
        <v>ブロック内発表の説明</v>
      </c>
      <c r="D56" s="104" t="s">
        <v>130</v>
      </c>
      <c r="E56" s="105"/>
      <c r="F56" s="106"/>
      <c r="G56" s="103" t="s">
        <v>43</v>
      </c>
      <c r="H56" s="107"/>
      <c r="I56" s="108" t="s">
        <v>24</v>
      </c>
      <c r="J56" s="109">
        <v>6.9444444444444441E-3</v>
      </c>
      <c r="K56" s="110"/>
      <c r="L56" s="6"/>
      <c r="M56" s="6"/>
      <c r="N56" s="6"/>
    </row>
    <row r="57" spans="1:14" ht="113.4">
      <c r="A57" s="11"/>
      <c r="B57" s="111"/>
      <c r="C57" s="103" t="str">
        <f>master!C49</f>
        <v>ブロック内発表の実施</v>
      </c>
      <c r="D57" s="104" t="s">
        <v>133</v>
      </c>
      <c r="E57" s="105"/>
      <c r="F57" s="106"/>
      <c r="G57" s="103" t="s">
        <v>40</v>
      </c>
      <c r="H57" s="107"/>
      <c r="I57" s="108" t="s">
        <v>24</v>
      </c>
      <c r="J57" s="109" t="s">
        <v>162</v>
      </c>
      <c r="K57" s="110"/>
      <c r="L57" s="6"/>
      <c r="M57" s="6"/>
      <c r="N57" s="6"/>
    </row>
    <row r="58" spans="1:14" ht="25.2">
      <c r="A58" s="11"/>
      <c r="B58" s="112"/>
      <c r="C58" s="103" t="str">
        <f>master!C50</f>
        <v>ブロック代表（選抜チーム）の決定</v>
      </c>
      <c r="D58" s="104" t="s">
        <v>132</v>
      </c>
      <c r="E58" s="105"/>
      <c r="F58" s="106"/>
      <c r="G58" s="103" t="s">
        <v>42</v>
      </c>
      <c r="H58" s="107"/>
      <c r="I58" s="108" t="s">
        <v>24</v>
      </c>
      <c r="J58" s="109">
        <v>2.0833333333333332E-2</v>
      </c>
      <c r="K58" s="110"/>
      <c r="L58" s="6"/>
      <c r="M58" s="6"/>
      <c r="N58" s="6"/>
    </row>
    <row r="59" spans="1:14" ht="138.6">
      <c r="A59" s="11"/>
      <c r="B59" s="113" t="str">
        <f>master!B51</f>
        <v>発表会（最終）</v>
      </c>
      <c r="C59" s="103" t="str">
        <f>master!C51</f>
        <v>全体発表</v>
      </c>
      <c r="D59" s="104"/>
      <c r="E59" s="105"/>
      <c r="F59" s="106"/>
      <c r="G59" s="103" t="s">
        <v>37</v>
      </c>
      <c r="H59" s="107"/>
      <c r="I59" s="108" t="s">
        <v>24</v>
      </c>
      <c r="J59" s="109" t="s">
        <v>162</v>
      </c>
      <c r="K59" s="110"/>
      <c r="L59" s="6"/>
      <c r="M59" s="6"/>
      <c r="N59" s="6"/>
    </row>
  </sheetData>
  <mergeCells count="58">
    <mergeCell ref="D41:F41"/>
    <mergeCell ref="D45:F45"/>
    <mergeCell ref="D46:F46"/>
    <mergeCell ref="D47:F47"/>
    <mergeCell ref="D51:F51"/>
    <mergeCell ref="D50:F50"/>
    <mergeCell ref="D43:F43"/>
    <mergeCell ref="B56:B58"/>
    <mergeCell ref="D44:F44"/>
    <mergeCell ref="B41:B47"/>
    <mergeCell ref="B48:B55"/>
    <mergeCell ref="B29:B40"/>
    <mergeCell ref="B17:B27"/>
    <mergeCell ref="I14:J14"/>
    <mergeCell ref="H14:H15"/>
    <mergeCell ref="B4:E4"/>
    <mergeCell ref="B5:K6"/>
    <mergeCell ref="D14:F15"/>
    <mergeCell ref="G14:G15"/>
    <mergeCell ref="B14:B15"/>
    <mergeCell ref="C14:C15"/>
    <mergeCell ref="K14:K15"/>
    <mergeCell ref="D29:F29"/>
    <mergeCell ref="D17:F17"/>
    <mergeCell ref="D23:F23"/>
    <mergeCell ref="D18:F18"/>
    <mergeCell ref="D20:F20"/>
    <mergeCell ref="D22:F22"/>
    <mergeCell ref="D19:F19"/>
    <mergeCell ref="D21:F21"/>
    <mergeCell ref="D24:F24"/>
    <mergeCell ref="D25:F25"/>
    <mergeCell ref="D26:F26"/>
    <mergeCell ref="D27:F27"/>
    <mergeCell ref="D28:F28"/>
    <mergeCell ref="D57:F57"/>
    <mergeCell ref="D55:F55"/>
    <mergeCell ref="D40:F40"/>
    <mergeCell ref="D42:F42"/>
    <mergeCell ref="D48:F48"/>
    <mergeCell ref="D49:F49"/>
    <mergeCell ref="D53:F53"/>
    <mergeCell ref="D54:F54"/>
    <mergeCell ref="D56:F56"/>
    <mergeCell ref="D58:F58"/>
    <mergeCell ref="D59:F59"/>
    <mergeCell ref="D30:F30"/>
    <mergeCell ref="D31:F31"/>
    <mergeCell ref="D32:F32"/>
    <mergeCell ref="D33:F33"/>
    <mergeCell ref="D34:F34"/>
    <mergeCell ref="D35:F35"/>
    <mergeCell ref="D36:F36"/>
    <mergeCell ref="D37:F37"/>
    <mergeCell ref="D38:F38"/>
    <mergeCell ref="D39:F39"/>
    <mergeCell ref="D16:F16"/>
    <mergeCell ref="D52:F52"/>
  </mergeCells>
  <phoneticPr fontId="3"/>
  <pageMargins left="0.7" right="0.7" top="0.75" bottom="0.75" header="0.3" footer="0.3"/>
  <pageSetup paperSize="9" scale="24"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master!#REF!</xm:f>
          </x14:formula1>
          <xm:sqref>H16:H59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51"/>
  <sheetViews>
    <sheetView workbookViewId="0">
      <selection activeCell="B1" sqref="B1"/>
    </sheetView>
  </sheetViews>
  <sheetFormatPr defaultColWidth="8.88671875" defaultRowHeight="13.2"/>
  <cols>
    <col min="1" max="1" width="4.6640625" customWidth="1"/>
    <col min="2" max="2" width="40.109375" customWidth="1"/>
    <col min="3" max="3" width="44" bestFit="1" customWidth="1"/>
  </cols>
  <sheetData>
    <row r="1" spans="2:3">
      <c r="B1" t="s">
        <v>52</v>
      </c>
    </row>
    <row r="2" spans="2:3">
      <c r="B2" s="67" t="s">
        <v>12</v>
      </c>
      <c r="C2" s="67" t="s">
        <v>13</v>
      </c>
    </row>
    <row r="3" spans="2:3">
      <c r="B3" s="68"/>
      <c r="C3" s="68"/>
    </row>
    <row r="4" spans="2:3">
      <c r="B4" t="s">
        <v>69</v>
      </c>
      <c r="C4" t="s">
        <v>56</v>
      </c>
    </row>
    <row r="5" spans="2:3">
      <c r="B5" t="s">
        <v>57</v>
      </c>
      <c r="C5" t="s">
        <v>57</v>
      </c>
    </row>
    <row r="6" spans="2:3">
      <c r="C6" t="s">
        <v>58</v>
      </c>
    </row>
    <row r="7" spans="2:3">
      <c r="C7" t="s">
        <v>59</v>
      </c>
    </row>
    <row r="8" spans="2:3">
      <c r="C8" t="s">
        <v>60</v>
      </c>
    </row>
    <row r="9" spans="2:3">
      <c r="C9" t="s">
        <v>61</v>
      </c>
    </row>
    <row r="10" spans="2:3">
      <c r="C10" t="s">
        <v>62</v>
      </c>
    </row>
    <row r="11" spans="2:3">
      <c r="C11" t="s">
        <v>63</v>
      </c>
    </row>
    <row r="12" spans="2:3">
      <c r="C12" t="s">
        <v>64</v>
      </c>
    </row>
    <row r="13" spans="2:3">
      <c r="C13" t="s">
        <v>65</v>
      </c>
    </row>
    <row r="14" spans="2:3">
      <c r="C14" t="s">
        <v>66</v>
      </c>
    </row>
    <row r="15" spans="2:3">
      <c r="C15" t="s">
        <v>67</v>
      </c>
    </row>
    <row r="16" spans="2:3">
      <c r="B16" t="s">
        <v>68</v>
      </c>
      <c r="C16" t="s">
        <v>68</v>
      </c>
    </row>
    <row r="17" spans="2:3">
      <c r="B17" s="68"/>
      <c r="C17" s="68"/>
    </row>
    <row r="18" spans="2:3">
      <c r="B18" t="s">
        <v>88</v>
      </c>
      <c r="C18" s="100" t="s">
        <v>70</v>
      </c>
    </row>
    <row r="19" spans="2:3">
      <c r="C19" s="100" t="s">
        <v>71</v>
      </c>
    </row>
    <row r="20" spans="2:3">
      <c r="C20" s="100" t="s">
        <v>72</v>
      </c>
    </row>
    <row r="21" spans="2:3">
      <c r="C21" s="100" t="s">
        <v>73</v>
      </c>
    </row>
    <row r="22" spans="2:3">
      <c r="C22" s="100" t="s">
        <v>74</v>
      </c>
    </row>
    <row r="23" spans="2:3">
      <c r="C23" s="100" t="s">
        <v>75</v>
      </c>
    </row>
    <row r="24" spans="2:3">
      <c r="C24" s="101" t="s">
        <v>76</v>
      </c>
    </row>
    <row r="25" spans="2:3">
      <c r="C25" s="100" t="s">
        <v>77</v>
      </c>
    </row>
    <row r="26" spans="2:3">
      <c r="C26" s="100" t="s">
        <v>78</v>
      </c>
    </row>
    <row r="27" spans="2:3">
      <c r="C27" s="100" t="s">
        <v>79</v>
      </c>
    </row>
    <row r="28" spans="2:3">
      <c r="C28" s="100" t="s">
        <v>80</v>
      </c>
    </row>
    <row r="29" spans="2:3">
      <c r="C29" s="100" t="s">
        <v>81</v>
      </c>
    </row>
    <row r="30" spans="2:3">
      <c r="B30" s="68"/>
      <c r="C30" s="68"/>
    </row>
    <row r="31" spans="2:3">
      <c r="B31" t="s">
        <v>86</v>
      </c>
      <c r="C31" s="100" t="s">
        <v>82</v>
      </c>
    </row>
    <row r="32" spans="2:3">
      <c r="C32" s="100" t="s">
        <v>105</v>
      </c>
    </row>
    <row r="33" spans="2:3">
      <c r="B33" s="119"/>
      <c r="C33" s="120" t="s">
        <v>99</v>
      </c>
    </row>
    <row r="34" spans="2:3">
      <c r="B34" s="119"/>
      <c r="C34" s="120" t="s">
        <v>109</v>
      </c>
    </row>
    <row r="35" spans="2:3">
      <c r="B35" s="119"/>
      <c r="C35" s="119" t="s">
        <v>100</v>
      </c>
    </row>
    <row r="36" spans="2:3">
      <c r="B36" s="119"/>
      <c r="C36" s="119" t="s">
        <v>101</v>
      </c>
    </row>
    <row r="37" spans="2:3">
      <c r="B37" s="119"/>
      <c r="C37" s="119" t="s">
        <v>102</v>
      </c>
    </row>
    <row r="38" spans="2:3">
      <c r="B38" s="68"/>
      <c r="C38" s="68"/>
    </row>
    <row r="39" spans="2:3">
      <c r="B39" t="s">
        <v>87</v>
      </c>
      <c r="C39" s="100" t="s">
        <v>82</v>
      </c>
    </row>
    <row r="40" spans="2:3">
      <c r="C40" s="100" t="s">
        <v>105</v>
      </c>
    </row>
    <row r="41" spans="2:3">
      <c r="C41" s="100" t="s">
        <v>83</v>
      </c>
    </row>
    <row r="42" spans="2:3">
      <c r="B42" s="119"/>
      <c r="C42" s="120" t="s">
        <v>121</v>
      </c>
    </row>
    <row r="43" spans="2:3">
      <c r="B43" s="119"/>
      <c r="C43" s="119" t="s">
        <v>120</v>
      </c>
    </row>
    <row r="44" spans="2:3">
      <c r="B44" s="119"/>
      <c r="C44" s="119" t="s">
        <v>101</v>
      </c>
    </row>
    <row r="45" spans="2:3">
      <c r="B45" s="119"/>
      <c r="C45" s="119" t="s">
        <v>102</v>
      </c>
    </row>
    <row r="46" spans="2:3">
      <c r="B46" s="119"/>
      <c r="C46" s="119" t="s">
        <v>127</v>
      </c>
    </row>
    <row r="47" spans="2:3">
      <c r="B47" s="68"/>
      <c r="C47" s="68"/>
    </row>
    <row r="48" spans="2:3">
      <c r="B48" t="s">
        <v>94</v>
      </c>
      <c r="C48" s="100" t="s">
        <v>103</v>
      </c>
    </row>
    <row r="49" spans="2:3">
      <c r="C49" s="100" t="s">
        <v>84</v>
      </c>
    </row>
    <row r="50" spans="2:3">
      <c r="C50" s="100" t="s">
        <v>131</v>
      </c>
    </row>
    <row r="51" spans="2:3">
      <c r="B51" t="s">
        <v>95</v>
      </c>
      <c r="C51" s="100" t="s">
        <v>85</v>
      </c>
    </row>
  </sheetData>
  <phoneticPr fontId="3"/>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3</vt:i4>
      </vt:variant>
    </vt:vector>
  </HeadingPairs>
  <TitlesOfParts>
    <vt:vector size="7" baseType="lpstr">
      <vt:lpstr>スケジュール（5日）</vt:lpstr>
      <vt:lpstr>特記イベント</vt:lpstr>
      <vt:lpstr>講義</vt:lpstr>
      <vt:lpstr>master</vt:lpstr>
      <vt:lpstr>'スケジュール（5日）'!Print_Area</vt:lpstr>
      <vt:lpstr>講義!Print_Area</vt:lpstr>
      <vt:lpstr>特記イベント!Print_Area</vt:lpstr>
    </vt:vector>
  </TitlesOfParts>
  <Company>株式会社NTTDATAユニバーシティ</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松下 正嗣</dc:creator>
  <cp:lastModifiedBy>直樹 石田</cp:lastModifiedBy>
  <cp:lastPrinted>2020-01-24T09:49:13Z</cp:lastPrinted>
  <dcterms:created xsi:type="dcterms:W3CDTF">2016-04-08T02:03:33Z</dcterms:created>
  <dcterms:modified xsi:type="dcterms:W3CDTF">2026-06-17T08:26:14Z</dcterms:modified>
</cp:coreProperties>
</file>
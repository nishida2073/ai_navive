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E17DF8D2-36DA-4BEC-89AE-D357B4F7CB3C}" xr6:coauthVersionLast="47" xr6:coauthVersionMax="47" xr10:uidLastSave="{00000000-0000-0000-0000-000000000000}"/>
  <bookViews>
    <workbookView xWindow="-108" yWindow="-108" windowWidth="23256" windowHeight="12456" tabRatio="860" xr2:uid="{00000000-000D-0000-FFFF-FFFF00000000}"/>
  </bookViews>
  <sheets>
    <sheet name="スケジュール（5日）" sheetId="33" r:id="rId1"/>
    <sheet name="特記イベント" sheetId="36" r:id="rId2"/>
    <sheet name="講義" sheetId="31" r:id="rId3"/>
    <sheet name="master" sheetId="21" r:id="rId4"/>
  </sheets>
  <definedNames>
    <definedName name="_xlnm.Print_Area" localSheetId="0">'スケジュール（5日）'!$A$1:$L$44</definedName>
    <definedName name="_xlnm.Print_Area" localSheetId="2">講義!$A$1:$L$61</definedName>
    <definedName name="_xlnm.Print_Area" localSheetId="1">特記イベント!$A$1:$L$15</definedName>
  </definedNames>
  <calcPr calcId="191029"/>
</workbook>
</file>

<file path=xl/calcChain.xml><?xml version="1.0" encoding="utf-8"?>
<calcChain xmlns="http://schemas.openxmlformats.org/spreadsheetml/2006/main">
  <c r="C14" i="33" l="1"/>
  <c r="B29" i="31"/>
  <c r="C29" i="31"/>
  <c r="B2" i="33"/>
  <c r="G11" i="33"/>
  <c r="C16" i="33"/>
  <c r="C12" i="33"/>
  <c r="C11" i="33"/>
  <c r="C30" i="31"/>
  <c r="C58" i="31"/>
  <c r="C56" i="31"/>
  <c r="C55" i="31"/>
  <c r="C54" i="31"/>
  <c r="C53" i="31"/>
  <c r="C52" i="31"/>
  <c r="C51" i="31"/>
  <c r="C50" i="31"/>
  <c r="C49" i="31"/>
  <c r="C48" i="31"/>
  <c r="C47" i="31"/>
  <c r="C46" i="31"/>
  <c r="C45" i="31"/>
  <c r="B42" i="31"/>
  <c r="C42" i="31"/>
  <c r="K26" i="33"/>
  <c r="B60" i="31"/>
  <c r="K11" i="33"/>
  <c r="C60" i="31"/>
  <c r="C59" i="31"/>
  <c r="C57" i="31"/>
  <c r="B57" i="31"/>
  <c r="C44" i="31"/>
  <c r="C43" i="31"/>
  <c r="B49" i="31"/>
  <c r="C41" i="31"/>
  <c r="C40" i="31"/>
  <c r="C39" i="31"/>
  <c r="C38" i="31"/>
  <c r="C37" i="31"/>
  <c r="C36" i="31"/>
  <c r="C35" i="31"/>
  <c r="C34" i="31"/>
  <c r="C33" i="31"/>
  <c r="C32" i="31"/>
  <c r="C31" i="31"/>
  <c r="C28" i="31"/>
  <c r="C27" i="31"/>
  <c r="C26" i="31"/>
  <c r="C25" i="31"/>
  <c r="C24" i="31"/>
  <c r="C23" i="31"/>
  <c r="C22" i="31"/>
  <c r="C21" i="31"/>
  <c r="C20" i="31"/>
  <c r="C19" i="31"/>
  <c r="C18" i="31"/>
  <c r="C17" i="31"/>
  <c r="B17" i="31"/>
  <c r="B16" i="31"/>
  <c r="C16"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<sst xmlns="http://schemas.openxmlformats.org/spreadsheetml/2006/main" count="301" uniqueCount="172">
  <si>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</si>
  <si>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</si>
  <si>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</si>
  <si>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</si>
  <si>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</si>
  <si>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</si>
  <si>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</si>
  <si>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</si>
  <si>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</si>
  <si>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</si>
  <si>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</si>
  <si>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</si>
  <si>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</si>
  <si>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</si>
  <si>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</si>
  <si>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</si>
  <si>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</si>
  <si>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</si>
  <si>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</si>
  <si>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</si>
  <si>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</si>
  <si>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</si>
  <si>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</si>
  <si>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</si>
  <si>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</si>
  <si>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</si>
  <si>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</si>
  <si>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</si>
  <si>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</si>
  <si>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</si>
  <si>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</si>
  <si>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</si>
  <si>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</si>
  <si>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</si>
  <si>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</si>
  <si>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</si>
  <si>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</si>
  <si>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</si>
  <si>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</si>
  <si>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</si>
  <si>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</si>
  <si>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</si>
  <si>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</si>
  <si>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</si>
  <si>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</si>
  <si>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</si>
  <si>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</si>
  <si>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</si>
  <si>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</si>
  <si>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【AI Native提案企画研修】個人演習説明.pptx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</si>
  <si>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</si>
  <si>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</si>
  <si>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</si>
  <si>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</si>
  <si>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</si>
  <si>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</si>
  <si>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</si>
  <si>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</si>
  <si>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</si>
  <si>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</si>
  <si>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</si>
  <si>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</si>
  <si>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</si>
  <si>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</si>
  <si>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3"/>
  </si>
  <si>
    <t>２．背景</t>
    <phoneticPr fontId="23"/>
  </si>
  <si>
    <t>３．現状課題</t>
    <phoneticPr fontId="23"/>
  </si>
  <si>
    <t>４．業界動向・市場分析</t>
    <phoneticPr fontId="23"/>
  </si>
  <si>
    <t>５．市場機会</t>
    <phoneticPr fontId="23"/>
  </si>
  <si>
    <t>６．サービス概要</t>
    <phoneticPr fontId="23"/>
  </si>
  <si>
    <t>７．利用者体験イメージ</t>
    <phoneticPr fontId="23"/>
  </si>
  <si>
    <t>８．事業構成</t>
    <phoneticPr fontId="23"/>
  </si>
  <si>
    <t>９．提供価値</t>
    <phoneticPr fontId="23"/>
  </si>
  <si>
    <t>１０．収益モデル</t>
    <phoneticPr fontId="23"/>
  </si>
  <si>
    <t>１１．リスク・課題</t>
    <phoneticPr fontId="23"/>
  </si>
  <si>
    <t>１２．今後の展望</t>
    <phoneticPr fontId="23"/>
  </si>
  <si>
    <t>演習内容の説明</t>
    <phoneticPr fontId="3"/>
  </si>
  <si>
    <t>【参考】最終発表時の評価基準</t>
    <phoneticPr fontId="3"/>
  </si>
  <si>
    <t>ブロック内発表の実施</t>
    <rPh sb="4" eb="5">
      <t>ナイ</t>
    </rPh>
    <rPh sb="5" eb="7">
      <t>ハッピョウ</t>
    </rPh>
    <rPh sb="8" eb="10">
      <t>ジッシ</t>
    </rPh>
    <phoneticPr fontId="3"/>
  </si>
  <si>
    <t>全体発表</t>
    <rPh sb="0" eb="2">
      <t>ゼンタイ</t>
    </rPh>
    <rPh sb="2" eb="4">
      <t>ハッピョウ</t>
    </rPh>
    <phoneticPr fontId="3"/>
  </si>
  <si>
    <t>個人演習</t>
    <rPh sb="0" eb="2">
      <t>コジン</t>
    </rPh>
    <phoneticPr fontId="3"/>
  </si>
  <si>
    <t>チーム演習</t>
    <phoneticPr fontId="3"/>
  </si>
  <si>
    <t>2 日目</t>
    <rPh sb="2" eb="3">
      <t>ニチ</t>
    </rPh>
    <rPh sb="3" eb="4">
      <t>メ</t>
    </rPh>
    <phoneticPr fontId="3"/>
  </si>
  <si>
    <t>3 日目</t>
    <rPh sb="2" eb="3">
      <t>ニチ</t>
    </rPh>
    <rPh sb="3" eb="4">
      <t>メ</t>
    </rPh>
    <phoneticPr fontId="3"/>
  </si>
  <si>
    <t>4 日目</t>
    <rPh sb="2" eb="3">
      <t>ニチ</t>
    </rPh>
    <rPh sb="3" eb="4">
      <t>メ</t>
    </rPh>
    <phoneticPr fontId="3"/>
  </si>
  <si>
    <t>5 日目</t>
    <rPh sb="2" eb="3">
      <t>ニチ</t>
    </rPh>
    <rPh sb="3" eb="4">
      <t>メ</t>
    </rPh>
    <phoneticPr fontId="3"/>
  </si>
  <si>
    <t>予備</t>
    <rPh sb="0" eb="2">
      <t>ヨビ</t>
    </rPh>
    <phoneticPr fontId="3"/>
  </si>
  <si>
    <t>AI-04</t>
    <phoneticPr fontId="3"/>
  </si>
  <si>
    <t>【AI Native提案企画研修】チーム演習説明.pptx</t>
  </si>
  <si>
    <t xml:space="preserve">・AI-02
</t>
    <phoneticPr fontId="3"/>
  </si>
  <si>
    <t>サービスの検討</t>
    <rPh sb="5" eb="7">
      <t>ケントウ</t>
    </rPh>
    <phoneticPr fontId="3"/>
  </si>
  <si>
    <t>サービスの決定</t>
    <rPh sb="5" eb="7">
      <t>ケッテイ</t>
    </rPh>
    <phoneticPr fontId="3"/>
  </si>
  <si>
    <t>成果物の作成</t>
    <rPh sb="0" eb="3">
      <t>セイカブツ</t>
    </rPh>
    <rPh sb="4" eb="6">
      <t>サクセイ</t>
    </rPh>
    <phoneticPr fontId="3"/>
  </si>
  <si>
    <t>成果物の提出</t>
    <rPh sb="0" eb="3">
      <t>セイカブツ</t>
    </rPh>
    <rPh sb="4" eb="6">
      <t>テイシュツ</t>
    </rPh>
    <phoneticPr fontId="3"/>
  </si>
  <si>
    <t>ブロック内発表の説明</t>
    <rPh sb="4" eb="5">
      <t>ナイ</t>
    </rPh>
    <rPh sb="5" eb="7">
      <t>ハッピョウ</t>
    </rPh>
    <rPh sb="8" eb="10">
      <t>セツメイ</t>
    </rPh>
    <phoneticPr fontId="3"/>
  </si>
  <si>
    <t xml:space="preserve">・AI-03
</t>
    <phoneticPr fontId="3"/>
  </si>
  <si>
    <t>演習成果物の説明</t>
    <rPh sb="2" eb="5">
      <t>セイカブツ</t>
    </rPh>
    <phoneticPr fontId="3"/>
  </si>
  <si>
    <t xml:space="preserve">・AI-03
</t>
    <phoneticPr fontId="3"/>
  </si>
  <si>
    <t xml:space="preserve">・AI-03
</t>
    <phoneticPr fontId="3"/>
  </si>
  <si>
    <t xml:space="preserve">・AI-03
</t>
    <phoneticPr fontId="3"/>
  </si>
  <si>
    <t>サービスのブラッシュアップ</t>
    <phoneticPr fontId="3"/>
  </si>
  <si>
    <t xml:space="preserve">・AI-03
</t>
    <phoneticPr fontId="3"/>
  </si>
  <si>
    <t>作成した成果物を指定の場所に納品することを説明する。</t>
    <rPh sb="0" eb="2">
      <t>サクセイ</t>
    </rPh>
    <rPh sb="4" eb="7">
      <t>セイカブツ</t>
    </rPh>
    <rPh sb="8" eb="10">
      <t>シテイ</t>
    </rPh>
    <rPh sb="11" eb="13">
      <t>バショ</t>
    </rPh>
    <rPh sb="14" eb="16">
      <t>ノウヒン</t>
    </rPh>
    <rPh sb="21" eb="23">
      <t>セツメイ</t>
    </rPh>
    <phoneticPr fontId="3"/>
  </si>
  <si>
    <t>決定したサービスについて、企画提案書およびプロトタイプを作成することを説明する。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サービスの利用イメージや主要な画面を作成し、ユーザー体験を具体的に表現すること。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35" eb="37">
      <t>セツメイ</t>
    </rPh>
    <phoneticPr fontId="3"/>
  </si>
  <si>
    <t>チームメンバーからのフィードバックを踏まえ、サービス案をブラッシュアップすることを説明する。
フィードバック内容を整理し、必要に応じて課題設定、ターゲットユーザー、提供価値、機能案などを見直すこと。
ブラッシュアップ後、最終的に提案するサービスを決定する。</t>
    <phoneticPr fontId="3"/>
  </si>
  <si>
    <t>サービス案をチーム内で発表し、メンバーからフィードバックを受けることを説明する。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フィードバックを踏まえ、サービス案をブラッシュアップする。</t>
    <phoneticPr fontId="3"/>
  </si>
  <si>
    <r>
      <t xml:space="preserve">解決したい課題やターゲットユーザーを明確にし、サービス案を検討することを説明する。
なお、サービス案の検討にあたっては、以下の観点を考慮すること。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・サービスの初期アイデア創出は、生成AIを利用せず自身で考えること。
・サービス案が作成できた後は、アイデアの検証、調査、市場分析、競合分析、ブラッシュアップを目的として生成AIを利用してよい。
・生成AIから得た情報は鵜呑みにせず、必要に応じて根拠や情報源を確認すること。</t>
    </r>
    <phoneticPr fontId="3"/>
  </si>
  <si>
    <t xml:space="preserve">・AI-03
</t>
    <phoneticPr fontId="3"/>
  </si>
  <si>
    <t>サービスの決定（チーム）</t>
    <rPh sb="5" eb="7">
      <t>ケッテイ</t>
    </rPh>
    <phoneticPr fontId="3"/>
  </si>
  <si>
    <t>サービスの提案</t>
    <rPh sb="5" eb="7">
      <t>テイアン</t>
    </rPh>
    <phoneticPr fontId="3"/>
  </si>
  <si>
    <t>チーム演習の概要について説明する。
■手順
1. サービスの提案
2. サービスの決定
3. 成果物の作成
4. 成果物の提出</t>
    <rPh sb="31" eb="33">
      <t>テイアン</t>
    </rPh>
    <phoneticPr fontId="3"/>
  </si>
  <si>
    <t xml:space="preserve">個人演習の概要について説明する。
■手順
1. サービスの検討
2. サービスをチーム内でブラッシュアップ
3. サービスの決定
4. 成果物の作成
5. 成果物の提出
</t>
    <rPh sb="0" eb="2">
      <t>コジン</t>
    </rPh>
    <rPh sb="69" eb="72">
      <t>セイカブツ</t>
    </rPh>
    <phoneticPr fontId="3"/>
  </si>
  <si>
    <t>決定したサービスについて、チームで企画提案書およびプロトタイプを作成することを説明する。
個人演習で作成した成果物やチーム内での議論を踏まえ、サービス内容をブラッシュアップすること。
また、課題の背景、ターゲットユーザー、提供価値、社会的意義、実現性、市場性などの観点からサービスを深掘りし、チームとしての提案内容を具体化すること。
ブラッシュアップおよび深掘りした内容を企画提案書にまとめるとともに、サービスの利用イメージが伝わるプロトタイプを作成すること。</t>
    <phoneticPr fontId="3"/>
  </si>
  <si>
    <t xml:space="preserve">・AI-01
</t>
    <phoneticPr fontId="3"/>
  </si>
  <si>
    <r>
      <t xml:space="preserve">発表の進め方について説明する。
各チームで作成した企画提案書およびプロトタイプを用いて、サービスの提案を行う。
提案では、解決したい課題、ターゲットユーザー、提供価値、社会的意義、実現性、市場性、およびサービスの利用イメージについて説明すること。
</t>
    </r>
    <r>
      <rPr>
        <sz val="9"/>
        <color rgb="FFFF0000"/>
        <rFont val="Meiryo UI"/>
        <family val="3"/>
        <charset val="128"/>
      </rPr>
      <t>※Teams会議の画面共有機能を利用し、企画提案書やプロトタイプを表示しながら発表することを推奨する。</t>
    </r>
    <phoneticPr fontId="3"/>
  </si>
  <si>
    <t>ブロック代表（選抜チーム）の決定</t>
    <rPh sb="4" eb="6">
      <t>ダイヒョウ</t>
    </rPh>
    <rPh sb="7" eb="9">
      <t>センバツ</t>
    </rPh>
    <rPh sb="14" eb="16">
      <t>ケッテイ</t>
    </rPh>
    <phoneticPr fontId="3"/>
  </si>
  <si>
    <t>Teamsのアンケート機能を利用して、ブロック代表を決定する。</t>
    <rPh sb="11" eb="13">
      <t>キノウ</t>
    </rPh>
    <rPh sb="14" eb="16">
      <t>リヨウ</t>
    </rPh>
    <rPh sb="23" eb="25">
      <t>ダイヒョウ</t>
    </rPh>
    <rPh sb="26" eb="28">
      <t>ケッテイ</t>
    </rPh>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</si>
  <si>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</si>
  <si>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</si>
  <si>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</si>
  <si>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</si>
  <si>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</si>
  <si>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</si>
  <si>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</si>
  <si>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</si>
  <si>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</si>
  <si>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</si>
  <si>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</si>
  <si>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</si>
  <si>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</si>
  <si>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</si>
  <si>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</si>
  <si>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</si>
  <si>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</si>
  <si>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</si>
  <si>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</si>
  <si>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</si>
  <si>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</si>
  <si>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</si>
  <si>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</si>
  <si>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</si>
  <si>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</si>
  <si>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</si>
  <si>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・提出先：Teamの共有フォルダに格納してください。
　　※全体連絡・共通＞02_AIネイティブ提案企画研修＞03_提出先＞01_個人演習
</t>
    <rPh sb="0" eb="3">
      <t>セイカブツ</t>
    </rPh>
    <rPh sb="18" eb="21">
      <t>セイカブツ</t>
    </rPh>
    <rPh sb="22" eb="24">
      <t>シュルイ</t>
    </rPh>
    <rPh sb="175" eb="177">
      <t>テイシュツ</t>
    </rPh>
    <rPh sb="177" eb="179">
      <t>ホウホウ</t>
    </rPh>
    <rPh sb="184" eb="185">
      <t>サキ</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</si>
  <si>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チーム名_企画提案書.pptx
　　プロトタイプ　→　チーム名_プロトタイプ.zip
■提出方法
　・提出先：Teamの共有フォルダ
　　※全体連絡・共通＞02_AIネイティブ提案企画研修＞03_提出先＞02_チーム演習
</t>
    <rPh sb="0" eb="3">
      <t>セイカブツ</t>
    </rPh>
    <rPh sb="115" eb="116">
      <t>サキ</t>
    </rPh>
    <phoneticPr fontId="3"/>
  </si>
  <si>
    <r>
      <t xml:space="preserve">評価基準は存在してること説明する。
</t>
    </r>
    <r>
      <rPr>
        <sz val="9"/>
        <color rgb="FFFF0000"/>
        <rFont val="Meiryo UI"/>
        <family val="3"/>
        <charset val="128"/>
      </rPr>
      <t>※本研修の提案書として正しい内容であればよい。</t>
    </r>
    <r>
      <rPr>
        <sz val="9"/>
        <rFont val="Meiryo UI"/>
        <family val="3"/>
        <charset val="128"/>
      </rPr>
      <t xml:space="preserve">
</t>
    </r>
    <rPh sb="0" eb="2">
      <t>ヒョウカ</t>
    </rPh>
    <rPh sb="2" eb="4">
      <t>キジュン</t>
    </rPh>
    <rPh sb="5" eb="7">
      <t>ソンザイ</t>
    </rPh>
    <rPh sb="12" eb="14">
      <t>セツメイ</t>
    </rPh>
    <rPh sb="19" eb="20">
      <t>ホン</t>
    </rPh>
    <rPh sb="20" eb="22">
      <t>ケンシュウ</t>
    </rPh>
    <rPh sb="23" eb="26">
      <t>テイアンショ</t>
    </rPh>
    <rPh sb="29" eb="30">
      <t>タダ</t>
    </rPh>
    <rPh sb="32" eb="34">
      <t>ナイヨウ</t>
    </rPh>
    <phoneticPr fontId="3"/>
  </si>
  <si>
    <r>
      <t xml:space="preserve">チームとして提案するサービスを決定することを説明する。
サービスの決定方法は問わないが、以下のいずれかの方法で決定すること。
・チームメンバーが提案したサービス案の中から、代表となるサービスを選定する。
・複数のサービス案の良い点を組み合わせ、新たなサービスとして再構築する。
</t>
    </r>
    <r>
      <rPr>
        <sz val="9"/>
        <color rgb="FFFF0000"/>
        <rFont val="Meiryo UI"/>
        <family val="3"/>
        <charset val="128"/>
      </rPr>
      <t>※決定にあたっては、提供価値、社会的意義、実現性、市場性などの観点を考慮すること。</t>
    </r>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</si>
  <si>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</si>
  <si>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</si>
  <si>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3"/>
  </si>
  <si>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</si>
  <si>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</si>
  <si>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</si>
  <si>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</si>
  <si>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</si>
  <si>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</si>
  <si>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
</t>
    <phoneticPr fontId="3"/>
  </si>
  <si>
    <t xml:space="preserve">
</t>
    <phoneticPr fontId="3"/>
  </si>
  <si>
    <t xml:space="preserve">
</t>
    <phoneticPr fontId="3"/>
  </si>
  <si>
    <t>発表に向けて、チーム内で提案内容のリハーサルを実施してもらうことを説明する。</t>
    <phoneticPr fontId="3"/>
  </si>
  <si>
    <t>提案のリハーサル</t>
    <rPh sb="0" eb="2">
      <t>テイアン</t>
    </rPh>
    <phoneticPr fontId="3"/>
  </si>
  <si>
    <t>個人演習で作成した成果物をチーム内で提案してもらうことを説明する。
■手順
1. 提案内容の発表順を決定する。
2. 企画提案書およびプロトタイプを用いてサービスを提案する。
3. 提案内容に対する質疑応答を行う。
※手順2～3を繰り返し実施する。</t>
  </si>
  <si>
    <t>チーム演習で作成した成果物をブロック内で提案してもらうことを説明する。
■手順
1. 提案内容の発表順を決定する。（15分）
2. 企画提案書およびプロトタイプを用いてサービスを提案する。（15分）
3. 提案内容に対する質疑応答を行う。（5分）
※手順2～3をチームごとに繰り返し実施する。</t>
    <rPh sb="3" eb="5">
      <t>エンシュウ</t>
    </rPh>
    <phoneticPr fontId="3"/>
  </si>
  <si>
    <r>
      <t xml:space="preserve">ブロック代表の成果物を全体に提案してもらうことを説明する。
</t>
    </r>
    <r>
      <rPr>
        <sz val="9"/>
        <color rgb="FFFF0000"/>
        <rFont val="Meiryo UI"/>
        <family val="3"/>
        <charset val="128"/>
      </rPr>
      <t xml:space="preserve">※提案内容の発表順については講師側で決定しておく。
</t>
    </r>
    <r>
      <rPr>
        <sz val="9"/>
        <rFont val="Meiryo UI"/>
        <family val="3"/>
        <charset val="128"/>
      </rPr>
      <t xml:space="preserve">
■手順
1. 企画提案書およびプロトタイプを用いてサービスを提案する。（15分）
2. 提案内容に対する質疑応答を行う。（8分）
※手順1～2をブロック代表ごとに繰り返し実施する。</t>
    </r>
    <rPh sb="4" eb="6">
      <t>ダイヒョウ</t>
    </rPh>
    <rPh sb="11" eb="13">
      <t>ゼンタイ</t>
    </rPh>
    <rPh sb="44" eb="46">
      <t>コウシ</t>
    </rPh>
    <rPh sb="46" eb="47">
      <t>ガワ</t>
    </rPh>
    <rPh sb="48" eb="50">
      <t>ケッテイ</t>
    </rPh>
    <rPh sb="95" eb="96">
      <t>ブン</t>
    </rPh>
    <rPh sb="134" eb="136">
      <t>ダイヒョウ</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</si>
  <si>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</si>
  <si>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</si>
  <si>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</si>
  <si>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</si>
  <si>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</si>
  <si>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</si>
  <si>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提案会（ブロック代表の決定）</t>
    <rPh sb="0" eb="2">
      <t>テイアン</t>
    </rPh>
    <rPh sb="2" eb="3">
      <t>カイ</t>
    </rPh>
    <rPh sb="8" eb="10">
      <t>ダイヒョウ</t>
    </rPh>
    <rPh sb="11" eb="13">
      <t>ケッテイ</t>
    </rPh>
    <phoneticPr fontId="3"/>
  </si>
  <si>
    <t>提案会（最終）</t>
    <rPh sb="0" eb="3">
      <t>テイアンカイ</t>
    </rPh>
    <rPh sb="4" eb="6">
      <t>キョウシツダイヒョウ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</si>
</sst>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
      <patternFill patternType="solid">
        <fgColor rgb="FFFFFF99"/>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3">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2" fillId="0" borderId="0" xfId="0" applyFont="1">
      <alignment vertical="center"/>
    </xf>
    <xf numFmtId="0" fontId="0" fillId="8" borderId="0" xfId="0" applyFill="1">
      <alignment vertical="center"/>
    </xf>
    <xf numFmtId="0" fontId="13" fillId="3" borderId="0" xfId="0" applyFont="1" applyFill="1" applyAlignment="1">
      <alignment horizontal="center"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8" fillId="10" borderId="1" xfId="0" applyFont="1" applyFill="1" applyBorder="1" applyAlignment="1">
      <alignment horizontal="left" vertical="top" wrapText="1"/>
    </xf>
    <xf numFmtId="0" fontId="5" fillId="10" borderId="1" xfId="0" applyFont="1" applyFill="1" applyBorder="1" applyAlignment="1">
      <alignment vertical="top" textRotation="255" wrapText="1"/>
    </xf>
    <xf numFmtId="0" fontId="5" fillId="10" borderId="8" xfId="0" applyFont="1" applyFill="1" applyBorder="1" applyAlignment="1">
      <alignment vertical="top"/>
    </xf>
    <xf numFmtId="0" fontId="5" fillId="10" borderId="10" xfId="0" applyFont="1" applyFill="1" applyBorder="1" applyAlignment="1">
      <alignment vertical="top"/>
    </xf>
    <xf numFmtId="0" fontId="5" fillId="10" borderId="9" xfId="0" applyFont="1" applyFill="1" applyBorder="1" applyAlignment="1">
      <alignment vertical="top"/>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20" fontId="5" fillId="0" borderId="9" xfId="0" applyNumberFormat="1" applyFont="1" applyBorder="1">
      <alignment vertical="center"/>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5" fillId="5" borderId="1" xfId="0" applyFont="1" applyFill="1" applyBorder="1" applyAlignment="1">
      <alignment horizontal="left" vertical="top" wrapText="1"/>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10" borderId="8" xfId="0" applyFont="1" applyFill="1" applyBorder="1" applyAlignment="1">
      <alignment horizontal="center" vertical="top" textRotation="255" wrapText="1"/>
    </xf>
    <xf numFmtId="0" fontId="5" fillId="10" borderId="10" xfId="0" applyFont="1" applyFill="1" applyBorder="1" applyAlignment="1">
      <alignment horizontal="center" vertical="top" textRotation="255" wrapText="1"/>
    </xf>
    <xf numFmtId="0" fontId="5" fillId="10" borderId="9" xfId="0" applyFont="1" applyFill="1" applyBorder="1" applyAlignment="1">
      <alignment horizontal="center" vertical="top" textRotation="255"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0" borderId="3" xfId="0" applyFont="1" applyBorder="1" applyAlignment="1">
      <alignment vertical="center"/>
    </xf>
    <xf numFmtId="0" fontId="5" fillId="0" borderId="5" xfId="0" applyFont="1" applyBorder="1" applyAlignment="1">
      <alignment vertical="center"/>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5" bestFit="1" customWidth="1"/>
    <col min="9" max="9" width="45" style="1" bestFit="1" customWidth="1"/>
    <col min="10" max="10" width="7.33203125" style="15" bestFit="1" customWidth="1"/>
    <col min="11" max="11" width="45" style="1" bestFit="1" customWidth="1"/>
    <col min="12" max="12" width="7.33203125" style="1" customWidth="1"/>
    <col min="13" max="16384" width="9" style="6"/>
  </cols>
  <sheetData>
    <row r="1" spans="1:11">
      <c r="D1" s="1"/>
      <c r="F1" s="1"/>
      <c r="H1" s="1"/>
      <c r="J1" s="1"/>
    </row>
    <row r="2" spans="1:11" ht="27">
      <c r="A2" s="13"/>
      <c r="B2" s="96" t="str">
        <f>"コースプラン/インストラクションガイド 「"&amp;master!$B$1&amp;"_IG」"</f>
        <v>コースプラン/インストラクションガイド 「AI Native-提案演習_IG」</v>
      </c>
      <c r="C2" s="96"/>
      <c r="D2" s="96"/>
      <c r="E2" s="96"/>
      <c r="F2" s="96"/>
      <c r="G2" s="96"/>
      <c r="H2" s="96"/>
      <c r="I2" s="96"/>
      <c r="J2" s="68"/>
      <c r="K2" s="68"/>
    </row>
    <row r="3" spans="1:11" ht="27.6" thickBot="1">
      <c r="A3" s="13"/>
      <c r="B3" s="14"/>
      <c r="C3" s="13"/>
      <c r="D3" s="13"/>
      <c r="E3" s="13"/>
      <c r="F3" s="13"/>
      <c r="G3" s="13"/>
      <c r="H3" s="13"/>
      <c r="I3" s="13"/>
      <c r="J3" s="13"/>
      <c r="K3" s="13"/>
    </row>
    <row r="4" spans="1:11" ht="27.6" thickBot="1">
      <c r="A4" s="13"/>
      <c r="B4" s="97" t="s">
        <v>11</v>
      </c>
      <c r="C4" s="98"/>
      <c r="D4" s="13"/>
      <c r="E4" s="13"/>
      <c r="F4" s="13"/>
      <c r="G4" s="13"/>
      <c r="H4" s="13"/>
      <c r="I4" s="13"/>
      <c r="J4" s="13"/>
      <c r="K4" s="13"/>
    </row>
    <row r="5" spans="1:11" ht="27.6" thickBot="1">
      <c r="A5" s="13"/>
      <c r="B5" s="99"/>
      <c r="C5" s="100"/>
      <c r="D5" s="13"/>
      <c r="E5" s="13"/>
      <c r="F5" s="13"/>
      <c r="G5" s="13"/>
      <c r="H5" s="13"/>
      <c r="I5" s="13"/>
      <c r="J5" s="13"/>
      <c r="K5" s="13"/>
    </row>
    <row r="6" spans="1:11">
      <c r="D6" s="1"/>
      <c r="F6" s="1"/>
      <c r="H6" s="1"/>
      <c r="J6" s="1"/>
    </row>
    <row r="7" spans="1:11" ht="16.2">
      <c r="B7" s="101" t="s">
        <v>2</v>
      </c>
      <c r="C7" s="101"/>
      <c r="D7" s="1"/>
      <c r="F7" s="1"/>
      <c r="H7" s="1"/>
      <c r="J7" s="1"/>
    </row>
    <row r="8" spans="1:11">
      <c r="D8" s="1"/>
      <c r="E8" s="15"/>
      <c r="F8" s="1"/>
      <c r="G8" s="15"/>
      <c r="H8" s="1"/>
      <c r="I8" s="15"/>
      <c r="J8" s="1"/>
      <c r="K8" s="15"/>
    </row>
    <row r="9" spans="1:11">
      <c r="B9" s="24"/>
      <c r="C9" s="24" t="s">
        <v>0</v>
      </c>
      <c r="D9" s="24"/>
      <c r="E9" s="24" t="s">
        <v>82</v>
      </c>
      <c r="F9" s="24"/>
      <c r="G9" s="24" t="s">
        <v>83</v>
      </c>
      <c r="H9" s="24"/>
      <c r="I9" s="24" t="s">
        <v>84</v>
      </c>
      <c r="J9" s="24"/>
      <c r="K9" s="24" t="s">
        <v>85</v>
      </c>
    </row>
    <row r="10" spans="1:11" ht="14.25" customHeight="1">
      <c r="A10" s="37">
        <v>0.39583333333333331</v>
      </c>
      <c r="B10" s="16">
        <v>0.39583333333333331</v>
      </c>
      <c r="C10" s="62" t="s">
        <v>3</v>
      </c>
      <c r="D10" s="16">
        <v>0.39583333333333331</v>
      </c>
      <c r="E10" s="62" t="s">
        <v>3</v>
      </c>
      <c r="F10" s="16">
        <v>0.39583333333333331</v>
      </c>
      <c r="G10" s="62" t="s">
        <v>3</v>
      </c>
      <c r="H10" s="16">
        <v>0.39583333333333331</v>
      </c>
      <c r="I10" s="62" t="s">
        <v>3</v>
      </c>
      <c r="J10" s="16">
        <v>0.39583333333333331</v>
      </c>
      <c r="K10" s="62" t="s">
        <v>3</v>
      </c>
    </row>
    <row r="11" spans="1:11">
      <c r="A11" s="39"/>
      <c r="B11" s="57">
        <v>0.40625</v>
      </c>
      <c r="C11" s="60" t="str">
        <f>master!B4</f>
        <v>導入</v>
      </c>
      <c r="D11" s="57">
        <v>0.40625</v>
      </c>
      <c r="E11" s="93"/>
      <c r="F11" s="57">
        <v>0.40625</v>
      </c>
      <c r="G11" s="93" t="str">
        <f>master!B40</f>
        <v>チーム演習</v>
      </c>
      <c r="H11" s="57">
        <v>0.40625</v>
      </c>
      <c r="I11" s="94"/>
      <c r="J11" s="57">
        <v>0.40625</v>
      </c>
      <c r="K11" s="82" t="str">
        <f>master!B49</f>
        <v>提案会（ブロック代表の決定）</v>
      </c>
    </row>
    <row r="12" spans="1:11">
      <c r="A12" s="37">
        <v>0.41666666666666669</v>
      </c>
      <c r="B12" s="89">
        <v>0.41666666666666669</v>
      </c>
      <c r="C12" s="60" t="str">
        <f>master!B5</f>
        <v>企画提案のステップ</v>
      </c>
      <c r="D12" s="59"/>
      <c r="E12" s="94"/>
      <c r="F12" s="59"/>
      <c r="G12" s="94"/>
      <c r="H12" s="59"/>
      <c r="I12" s="94"/>
      <c r="J12" s="59"/>
      <c r="K12" s="83"/>
    </row>
    <row r="13" spans="1:11">
      <c r="A13" s="38"/>
      <c r="B13" s="90"/>
      <c r="C13" s="61"/>
      <c r="D13" s="59"/>
      <c r="E13" s="94"/>
      <c r="F13" s="59"/>
      <c r="G13" s="94"/>
      <c r="H13" s="59"/>
      <c r="I13" s="94"/>
      <c r="J13" s="59"/>
      <c r="K13" s="83"/>
    </row>
    <row r="14" spans="1:11">
      <c r="A14" s="38"/>
      <c r="B14" s="57">
        <v>0.4375</v>
      </c>
      <c r="C14" s="60" t="str">
        <f>master!B18</f>
        <v>提案書のサンプルについて</v>
      </c>
      <c r="D14" s="59"/>
      <c r="E14" s="94"/>
      <c r="F14" s="59"/>
      <c r="G14" s="94"/>
      <c r="H14" s="59"/>
      <c r="I14" s="94"/>
      <c r="J14" s="59"/>
      <c r="K14" s="83"/>
    </row>
    <row r="15" spans="1:11">
      <c r="A15" s="39"/>
      <c r="B15" s="91" t="s">
        <v>29</v>
      </c>
      <c r="C15" s="61"/>
      <c r="D15" s="59"/>
      <c r="E15" s="94"/>
      <c r="F15" s="59"/>
      <c r="G15" s="94"/>
      <c r="H15" s="59"/>
      <c r="I15" s="94"/>
      <c r="J15" s="59"/>
      <c r="K15" s="83"/>
    </row>
    <row r="16" spans="1:11">
      <c r="A16" s="37">
        <v>0.45833333333333331</v>
      </c>
      <c r="B16" s="57">
        <v>0.45833333333333331</v>
      </c>
      <c r="C16" s="93" t="str">
        <f>master!B32</f>
        <v>個人演習</v>
      </c>
      <c r="D16" s="59"/>
      <c r="E16" s="94"/>
      <c r="F16" s="59"/>
      <c r="G16" s="94"/>
      <c r="H16" s="59"/>
      <c r="I16" s="94"/>
      <c r="J16" s="59"/>
      <c r="K16" s="83"/>
    </row>
    <row r="17" spans="1:12">
      <c r="A17" s="38"/>
      <c r="B17" s="59"/>
      <c r="C17" s="94"/>
      <c r="D17" s="59"/>
      <c r="E17" s="94"/>
      <c r="F17" s="59"/>
      <c r="G17" s="94"/>
      <c r="H17" s="59"/>
      <c r="I17" s="94"/>
      <c r="J17" s="59"/>
      <c r="K17" s="83"/>
    </row>
    <row r="18" spans="1:12">
      <c r="A18" s="38"/>
      <c r="B18" s="59"/>
      <c r="C18" s="94"/>
      <c r="D18" s="59"/>
      <c r="E18" s="94"/>
      <c r="F18" s="59"/>
      <c r="G18" s="94"/>
      <c r="H18" s="59"/>
      <c r="I18" s="94"/>
      <c r="J18" s="59"/>
      <c r="K18" s="83"/>
    </row>
    <row r="19" spans="1:12">
      <c r="A19" s="39"/>
      <c r="B19" s="59"/>
      <c r="C19" s="94"/>
      <c r="D19" s="59"/>
      <c r="E19" s="94"/>
      <c r="F19" s="59"/>
      <c r="G19" s="94"/>
      <c r="H19" s="59"/>
      <c r="I19" s="94"/>
      <c r="J19" s="59"/>
      <c r="K19" s="83"/>
    </row>
    <row r="20" spans="1:12">
      <c r="A20" s="56">
        <v>0.5</v>
      </c>
      <c r="B20" s="59"/>
      <c r="C20" s="94"/>
      <c r="D20" s="59"/>
      <c r="E20" s="94"/>
      <c r="F20" s="59"/>
      <c r="G20" s="94"/>
      <c r="H20" s="59"/>
      <c r="I20" s="94"/>
      <c r="J20" s="59"/>
      <c r="K20" s="83"/>
    </row>
    <row r="21" spans="1:12">
      <c r="A21" s="52"/>
      <c r="B21" s="54"/>
      <c r="C21" s="92"/>
      <c r="D21" s="88"/>
      <c r="E21" s="92"/>
      <c r="F21" s="88"/>
      <c r="G21" s="92"/>
      <c r="H21" s="88"/>
      <c r="I21" s="94"/>
      <c r="J21" s="54"/>
      <c r="K21" s="84"/>
    </row>
    <row r="22" spans="1:12">
      <c r="A22" s="38"/>
      <c r="B22" s="38">
        <v>0.52083333333333337</v>
      </c>
      <c r="C22" s="63" t="s">
        <v>1</v>
      </c>
      <c r="D22" s="38">
        <v>0.52083333333333337</v>
      </c>
      <c r="E22" s="63" t="s">
        <v>1</v>
      </c>
      <c r="F22" s="38">
        <v>0.52083333333333337</v>
      </c>
      <c r="G22" s="63" t="s">
        <v>1</v>
      </c>
      <c r="H22" s="38">
        <v>0.52083333333333337</v>
      </c>
      <c r="I22" s="63" t="s">
        <v>1</v>
      </c>
      <c r="J22" s="38">
        <v>0.52083333333333337</v>
      </c>
      <c r="K22" s="63" t="s">
        <v>1</v>
      </c>
    </row>
    <row r="23" spans="1:12">
      <c r="A23" s="39"/>
      <c r="B23" s="38" t="s">
        <v>29</v>
      </c>
      <c r="C23" s="64"/>
      <c r="D23" s="38" t="s">
        <v>29</v>
      </c>
      <c r="E23" s="64"/>
      <c r="F23" s="38" t="s">
        <v>29</v>
      </c>
      <c r="G23" s="64"/>
      <c r="H23" s="38" t="s">
        <v>29</v>
      </c>
      <c r="I23" s="64"/>
      <c r="J23" s="38" t="s">
        <v>29</v>
      </c>
      <c r="K23" s="64"/>
    </row>
    <row r="24" spans="1:12">
      <c r="A24" s="37">
        <v>0.54166666666666663</v>
      </c>
      <c r="B24" s="38" t="s">
        <v>29</v>
      </c>
      <c r="C24" s="64"/>
      <c r="D24" s="38" t="s">
        <v>29</v>
      </c>
      <c r="E24" s="64"/>
      <c r="F24" s="38" t="s">
        <v>29</v>
      </c>
      <c r="G24" s="64"/>
      <c r="H24" s="38" t="s">
        <v>29</v>
      </c>
      <c r="I24" s="64"/>
      <c r="J24" s="38" t="s">
        <v>29</v>
      </c>
      <c r="K24" s="64"/>
    </row>
    <row r="25" spans="1:12">
      <c r="A25" s="38"/>
      <c r="B25" s="39" t="s">
        <v>29</v>
      </c>
      <c r="C25" s="65"/>
      <c r="D25" s="39" t="s">
        <v>29</v>
      </c>
      <c r="E25" s="65"/>
      <c r="F25" s="39" t="s">
        <v>29</v>
      </c>
      <c r="G25" s="65"/>
      <c r="H25" s="39" t="s">
        <v>29</v>
      </c>
      <c r="I25" s="65"/>
      <c r="J25" s="39" t="s">
        <v>29</v>
      </c>
      <c r="K25" s="65"/>
    </row>
    <row r="26" spans="1:12">
      <c r="A26" s="38"/>
      <c r="B26" s="40">
        <v>0.5625</v>
      </c>
      <c r="C26" s="93"/>
      <c r="D26" s="40">
        <v>0.5625</v>
      </c>
      <c r="E26" s="93"/>
      <c r="F26" s="40">
        <v>0.5625</v>
      </c>
      <c r="G26" s="93"/>
      <c r="H26" s="40">
        <v>0.5625</v>
      </c>
      <c r="I26" s="93"/>
      <c r="J26" s="40">
        <v>0.5625</v>
      </c>
      <c r="K26" s="82" t="str">
        <f>master!B52</f>
        <v>提案会（最終）</v>
      </c>
    </row>
    <row r="27" spans="1:12">
      <c r="A27" s="39"/>
      <c r="B27" s="42"/>
      <c r="C27" s="94"/>
      <c r="D27" s="42"/>
      <c r="E27" s="94"/>
      <c r="F27" s="42"/>
      <c r="G27" s="94"/>
      <c r="H27" s="42"/>
      <c r="I27" s="94"/>
      <c r="J27" s="42"/>
      <c r="K27" s="83"/>
    </row>
    <row r="28" spans="1:12">
      <c r="A28" s="37">
        <v>0.58333333333333337</v>
      </c>
      <c r="B28" s="42"/>
      <c r="C28" s="94"/>
      <c r="D28" s="42"/>
      <c r="E28" s="94"/>
      <c r="F28" s="42"/>
      <c r="G28" s="94"/>
      <c r="H28" s="42"/>
      <c r="I28" s="94"/>
      <c r="J28" s="42"/>
      <c r="K28" s="83"/>
    </row>
    <row r="29" spans="1:12">
      <c r="A29" s="38"/>
      <c r="B29" s="42"/>
      <c r="C29" s="94"/>
      <c r="D29" s="42"/>
      <c r="E29" s="94"/>
      <c r="F29" s="42"/>
      <c r="G29" s="94"/>
      <c r="H29" s="42"/>
      <c r="I29" s="94"/>
      <c r="J29" s="42"/>
      <c r="K29" s="83"/>
      <c r="L29" s="51"/>
    </row>
    <row r="30" spans="1:12">
      <c r="A30" s="38"/>
      <c r="B30" s="42"/>
      <c r="C30" s="94"/>
      <c r="D30" s="42"/>
      <c r="E30" s="94"/>
      <c r="F30" s="42"/>
      <c r="G30" s="94"/>
      <c r="H30" s="42"/>
      <c r="I30" s="94"/>
      <c r="J30" s="42"/>
      <c r="K30" s="83"/>
      <c r="L30" s="51"/>
    </row>
    <row r="31" spans="1:12">
      <c r="A31" s="39"/>
      <c r="B31" s="42"/>
      <c r="C31" s="94"/>
      <c r="D31" s="42"/>
      <c r="E31" s="94"/>
      <c r="F31" s="42"/>
      <c r="G31" s="94"/>
      <c r="H31" s="42"/>
      <c r="I31" s="94"/>
      <c r="J31" s="42"/>
      <c r="K31" s="83"/>
      <c r="L31" s="51"/>
    </row>
    <row r="32" spans="1:12">
      <c r="A32" s="56">
        <v>0.625</v>
      </c>
      <c r="B32" s="42"/>
      <c r="C32" s="94"/>
      <c r="D32" s="42"/>
      <c r="E32" s="94"/>
      <c r="F32" s="42"/>
      <c r="G32" s="94"/>
      <c r="H32" s="42"/>
      <c r="I32" s="94"/>
      <c r="J32" s="42"/>
      <c r="K32" s="83"/>
      <c r="L32" s="51"/>
    </row>
    <row r="33" spans="1:12">
      <c r="A33" s="52"/>
      <c r="B33" s="42"/>
      <c r="C33" s="94"/>
      <c r="D33" s="42"/>
      <c r="E33" s="94"/>
      <c r="F33" s="42"/>
      <c r="G33" s="94"/>
      <c r="H33" s="42"/>
      <c r="I33" s="94"/>
      <c r="J33" s="42"/>
      <c r="K33" s="83"/>
      <c r="L33" s="51"/>
    </row>
    <row r="34" spans="1:12">
      <c r="A34" s="52"/>
      <c r="B34" s="42"/>
      <c r="C34" s="94"/>
      <c r="D34" s="42"/>
      <c r="E34" s="94"/>
      <c r="F34" s="42"/>
      <c r="G34" s="94"/>
      <c r="H34" s="42"/>
      <c r="I34" s="94"/>
      <c r="J34" s="42"/>
      <c r="K34" s="83"/>
      <c r="L34" s="51"/>
    </row>
    <row r="35" spans="1:12">
      <c r="A35" s="39"/>
      <c r="B35" s="42"/>
      <c r="C35" s="94"/>
      <c r="D35" s="42"/>
      <c r="E35" s="94"/>
      <c r="F35" s="42"/>
      <c r="G35" s="94"/>
      <c r="H35" s="42"/>
      <c r="I35" s="94"/>
      <c r="J35" s="42"/>
      <c r="K35" s="83"/>
      <c r="L35" s="51"/>
    </row>
    <row r="36" spans="1:12">
      <c r="A36" s="37">
        <v>0.66666666666666663</v>
      </c>
      <c r="B36" s="42"/>
      <c r="C36" s="94"/>
      <c r="D36" s="42"/>
      <c r="E36" s="94"/>
      <c r="F36" s="42"/>
      <c r="G36" s="94"/>
      <c r="H36" s="42"/>
      <c r="I36" s="94"/>
      <c r="J36" s="42"/>
      <c r="K36" s="83"/>
      <c r="L36" s="51"/>
    </row>
    <row r="37" spans="1:12">
      <c r="A37" s="38"/>
      <c r="B37" s="42"/>
      <c r="C37" s="94"/>
      <c r="D37" s="42"/>
      <c r="E37" s="94"/>
      <c r="F37" s="42"/>
      <c r="G37" s="94"/>
      <c r="H37" s="42"/>
      <c r="I37" s="94"/>
      <c r="J37" s="42"/>
      <c r="K37" s="83"/>
      <c r="L37" s="51"/>
    </row>
    <row r="38" spans="1:12">
      <c r="A38" s="38"/>
      <c r="B38" s="42"/>
      <c r="C38" s="94"/>
      <c r="D38" s="42"/>
      <c r="E38" s="94"/>
      <c r="F38" s="42"/>
      <c r="G38" s="94"/>
      <c r="H38" s="42"/>
      <c r="I38" s="94"/>
      <c r="J38" s="42"/>
      <c r="K38" s="83"/>
      <c r="L38" s="51"/>
    </row>
    <row r="39" spans="1:12">
      <c r="A39" s="38"/>
      <c r="B39" s="42"/>
      <c r="C39" s="94"/>
      <c r="D39" s="42"/>
      <c r="E39" s="94"/>
      <c r="F39" s="42"/>
      <c r="G39" s="94"/>
      <c r="H39" s="42"/>
      <c r="I39" s="94"/>
      <c r="J39" s="42"/>
      <c r="K39" s="83"/>
      <c r="L39" s="51"/>
    </row>
    <row r="40" spans="1:12">
      <c r="A40" s="40">
        <v>0.70833333333333337</v>
      </c>
      <c r="B40" s="42"/>
      <c r="C40" s="94"/>
      <c r="D40" s="42"/>
      <c r="E40" s="94"/>
      <c r="F40" s="42"/>
      <c r="G40" s="94"/>
      <c r="H40" s="42"/>
      <c r="I40" s="94"/>
      <c r="J40" s="42"/>
      <c r="K40" s="83"/>
      <c r="L40" s="51"/>
    </row>
    <row r="41" spans="1:12">
      <c r="A41" s="38"/>
      <c r="B41" s="42"/>
      <c r="C41" s="94"/>
      <c r="D41" s="42"/>
      <c r="E41" s="94"/>
      <c r="F41" s="42"/>
      <c r="G41" s="94"/>
      <c r="H41" s="42"/>
      <c r="I41" s="94"/>
      <c r="J41" s="42"/>
      <c r="K41" s="83"/>
      <c r="L41" s="53"/>
    </row>
    <row r="42" spans="1:12">
      <c r="A42" s="42"/>
      <c r="B42" s="42"/>
      <c r="C42" s="92"/>
      <c r="D42" s="42"/>
      <c r="E42" s="92"/>
      <c r="F42" s="42"/>
      <c r="G42" s="92"/>
      <c r="H42" s="42"/>
      <c r="I42" s="92"/>
      <c r="J42" s="42"/>
      <c r="K42" s="84"/>
      <c r="L42" s="51"/>
    </row>
    <row r="43" spans="1:12" ht="14.25" customHeight="1">
      <c r="A43" s="41"/>
      <c r="B43" s="85">
        <v>0.73958333333333337</v>
      </c>
      <c r="C43" s="86" t="s">
        <v>86</v>
      </c>
      <c r="D43" s="85">
        <v>0.73958333333333337</v>
      </c>
      <c r="E43" s="86" t="s">
        <v>86</v>
      </c>
      <c r="F43" s="85">
        <v>0.73958333333333337</v>
      </c>
      <c r="G43" s="86" t="s">
        <v>86</v>
      </c>
      <c r="H43" s="85">
        <v>0.73958333333333337</v>
      </c>
      <c r="I43" s="86" t="s">
        <v>86</v>
      </c>
      <c r="J43" s="85">
        <v>0.73958333333333337</v>
      </c>
      <c r="K43" s="86" t="s">
        <v>86</v>
      </c>
      <c r="L43" s="52"/>
    </row>
    <row r="44" spans="1:12" ht="15.6" thickBot="1">
      <c r="A44" s="6"/>
      <c r="L44" s="22"/>
    </row>
  </sheetData>
  <mergeCells count="4">
    <mergeCell ref="B2:I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105" t="s">
        <v>4</v>
      </c>
      <c r="C4" s="105"/>
      <c r="D4" s="8"/>
      <c r="E4" s="8"/>
      <c r="F4" s="8"/>
      <c r="G4" s="7"/>
      <c r="H4" s="26"/>
      <c r="I4" s="18"/>
      <c r="J4" s="18"/>
      <c r="K4" s="9"/>
    </row>
    <row r="5" spans="1:12" ht="36" customHeight="1">
      <c r="B5" s="106"/>
      <c r="C5" s="106"/>
      <c r="D5" s="106"/>
      <c r="E5" s="106"/>
      <c r="F5" s="106"/>
      <c r="G5" s="106"/>
      <c r="H5" s="106"/>
      <c r="I5" s="106"/>
      <c r="J5" s="106"/>
      <c r="K5" s="106"/>
    </row>
    <row r="6" spans="1:12">
      <c r="B6" s="10"/>
      <c r="C6" s="10"/>
      <c r="G6" s="10"/>
      <c r="K6" s="10"/>
    </row>
    <row r="7" spans="1:12">
      <c r="B7" s="33" t="s">
        <v>14</v>
      </c>
      <c r="C7" s="33" t="s">
        <v>15</v>
      </c>
      <c r="D7" s="107" t="s">
        <v>20</v>
      </c>
      <c r="E7" s="107"/>
      <c r="F7" s="33" t="s">
        <v>10</v>
      </c>
      <c r="G7" s="33" t="s">
        <v>16</v>
      </c>
      <c r="K7" s="6"/>
      <c r="L7" s="6"/>
    </row>
    <row r="8" spans="1:12">
      <c r="B8" s="34" t="s">
        <v>17</v>
      </c>
      <c r="C8" s="35" t="s">
        <v>33</v>
      </c>
      <c r="D8" s="45" t="s">
        <v>19</v>
      </c>
      <c r="E8" s="44"/>
      <c r="F8" s="36" t="s">
        <v>22</v>
      </c>
      <c r="G8" s="36" t="s">
        <v>18</v>
      </c>
      <c r="K8" s="6"/>
      <c r="L8" s="6"/>
    </row>
    <row r="9" spans="1:12">
      <c r="B9" s="23"/>
      <c r="C9" s="20"/>
      <c r="D9" s="21"/>
      <c r="G9" s="10"/>
      <c r="K9" s="6"/>
      <c r="L9" s="6"/>
    </row>
    <row r="11" spans="1:12">
      <c r="A11" s="10"/>
      <c r="B11" s="104"/>
      <c r="C11" s="104" t="s">
        <v>7</v>
      </c>
      <c r="D11" s="104" t="s">
        <v>8</v>
      </c>
      <c r="E11" s="104"/>
      <c r="F11" s="104"/>
      <c r="G11" s="104" t="s">
        <v>9</v>
      </c>
      <c r="H11" s="108" t="s">
        <v>23</v>
      </c>
      <c r="I11" s="103" t="s">
        <v>31</v>
      </c>
      <c r="J11" s="103"/>
      <c r="K11" s="103" t="s">
        <v>30</v>
      </c>
      <c r="L11" s="10"/>
    </row>
    <row r="12" spans="1:12">
      <c r="A12" s="10"/>
      <c r="B12" s="104"/>
      <c r="C12" s="104"/>
      <c r="D12" s="104"/>
      <c r="E12" s="104"/>
      <c r="F12" s="104"/>
      <c r="G12" s="104"/>
      <c r="H12" s="109"/>
      <c r="I12" s="28" t="s">
        <v>25</v>
      </c>
      <c r="J12" s="28" t="s">
        <v>6</v>
      </c>
      <c r="K12" s="104"/>
      <c r="L12" s="10"/>
    </row>
    <row r="13" spans="1:12" ht="63">
      <c r="A13" s="10"/>
      <c r="B13" s="19"/>
      <c r="C13" s="19" t="s">
        <v>167</v>
      </c>
      <c r="D13" s="102" t="s">
        <v>40</v>
      </c>
      <c r="E13" s="102"/>
      <c r="F13" s="102"/>
      <c r="G13" s="95" t="s">
        <v>41</v>
      </c>
      <c r="H13" s="19"/>
      <c r="I13" s="49" t="s">
        <v>28</v>
      </c>
      <c r="J13" s="55">
        <v>1.0416666666666666E-2</v>
      </c>
      <c r="K13" s="19"/>
      <c r="L13" s="10"/>
    </row>
    <row r="14" spans="1:12" ht="25.2">
      <c r="A14" s="10"/>
      <c r="B14" s="19"/>
      <c r="C14" s="19" t="s">
        <v>166</v>
      </c>
      <c r="D14" s="102" t="s">
        <v>168</v>
      </c>
      <c r="E14" s="102"/>
      <c r="F14" s="102"/>
      <c r="G14" s="95" t="s">
        <v>169</v>
      </c>
      <c r="H14" s="19"/>
      <c r="I14" s="49" t="s">
        <v>24</v>
      </c>
      <c r="J14" s="55">
        <v>1.0416666666666666E-2</v>
      </c>
      <c r="K14" s="19"/>
      <c r="L14" s="10"/>
    </row>
  </sheetData>
  <mergeCells count="12">
    <mergeCell ref="D14:F14"/>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5" t="s">
        <v>4</v>
      </c>
      <c r="C4" s="105"/>
      <c r="D4" s="105"/>
      <c r="E4" s="105"/>
      <c r="F4" s="8"/>
      <c r="G4" s="8"/>
      <c r="H4" s="7"/>
      <c r="I4" s="18"/>
      <c r="J4" s="18"/>
      <c r="K4" s="18"/>
      <c r="L4" s="9"/>
      <c r="M4" s="9"/>
    </row>
    <row r="5" spans="1:14" ht="36" customHeight="1">
      <c r="B5" s="121"/>
      <c r="C5" s="121"/>
      <c r="D5" s="121"/>
      <c r="E5" s="121"/>
      <c r="F5" s="121"/>
      <c r="G5" s="121"/>
      <c r="H5" s="121"/>
      <c r="I5" s="121"/>
      <c r="J5" s="121"/>
      <c r="K5" s="121"/>
      <c r="L5" s="29"/>
      <c r="M5" s="30"/>
    </row>
    <row r="6" spans="1:14" ht="32.4" customHeight="1">
      <c r="B6" s="121"/>
      <c r="C6" s="121"/>
      <c r="D6" s="121"/>
      <c r="E6" s="121"/>
      <c r="F6" s="121"/>
      <c r="G6" s="121"/>
      <c r="H6" s="121"/>
      <c r="I6" s="121"/>
      <c r="J6" s="121"/>
      <c r="K6" s="121"/>
      <c r="L6" s="29"/>
      <c r="M6" s="30"/>
    </row>
    <row r="7" spans="1:14">
      <c r="B7" s="10"/>
      <c r="C7" s="10"/>
      <c r="D7" s="10"/>
      <c r="E7" s="10"/>
      <c r="H7" s="10"/>
      <c r="L7" s="10"/>
      <c r="M7" s="10"/>
    </row>
    <row r="8" spans="1:14">
      <c r="B8" s="33" t="s">
        <v>14</v>
      </c>
      <c r="C8" s="33" t="s">
        <v>15</v>
      </c>
      <c r="D8" s="107" t="s">
        <v>20</v>
      </c>
      <c r="E8" s="107"/>
      <c r="F8" s="33" t="s">
        <v>10</v>
      </c>
      <c r="G8" s="33" t="s">
        <v>16</v>
      </c>
      <c r="I8" s="47"/>
      <c r="J8" s="6"/>
      <c r="K8" s="6"/>
      <c r="L8" s="6"/>
      <c r="M8" s="6"/>
      <c r="N8" s="6"/>
    </row>
    <row r="9" spans="1:14">
      <c r="B9" s="34" t="s">
        <v>34</v>
      </c>
      <c r="C9" s="58" t="s">
        <v>47</v>
      </c>
      <c r="D9" s="131" t="s">
        <v>19</v>
      </c>
      <c r="E9" s="132"/>
      <c r="F9" s="36" t="s">
        <v>21</v>
      </c>
      <c r="G9" s="36" t="s">
        <v>18</v>
      </c>
      <c r="K9" s="6"/>
      <c r="L9" s="6"/>
      <c r="M9" s="6"/>
      <c r="N9" s="6"/>
    </row>
    <row r="10" spans="1:14">
      <c r="B10" s="34" t="s">
        <v>35</v>
      </c>
      <c r="C10" s="58" t="s">
        <v>48</v>
      </c>
      <c r="D10" s="131" t="s">
        <v>19</v>
      </c>
      <c r="E10" s="132"/>
      <c r="F10" s="36" t="s">
        <v>21</v>
      </c>
      <c r="G10" s="36" t="s">
        <v>18</v>
      </c>
      <c r="K10" s="6"/>
      <c r="L10" s="6"/>
      <c r="M10" s="6"/>
      <c r="N10" s="6"/>
    </row>
    <row r="11" spans="1:14">
      <c r="B11" s="34" t="s">
        <v>42</v>
      </c>
      <c r="C11" s="36" t="s">
        <v>49</v>
      </c>
      <c r="D11" s="131" t="s">
        <v>19</v>
      </c>
      <c r="E11" s="132"/>
      <c r="F11" s="36" t="s">
        <v>21</v>
      </c>
      <c r="G11" s="36" t="s">
        <v>18</v>
      </c>
      <c r="K11" s="6"/>
      <c r="L11" s="6"/>
      <c r="M11" s="6"/>
      <c r="N11" s="6"/>
    </row>
    <row r="12" spans="1:14">
      <c r="B12" s="34" t="s">
        <v>87</v>
      </c>
      <c r="C12" s="36" t="s">
        <v>88</v>
      </c>
      <c r="D12" s="131" t="s">
        <v>19</v>
      </c>
      <c r="E12" s="132"/>
      <c r="F12" s="36" t="s">
        <v>21</v>
      </c>
      <c r="G12" s="36" t="s">
        <v>18</v>
      </c>
      <c r="K12" s="6"/>
      <c r="L12" s="6"/>
      <c r="M12" s="6"/>
      <c r="N12" s="6"/>
    </row>
    <row r="14" spans="1:14" ht="24" customHeight="1">
      <c r="A14" s="10"/>
      <c r="B14" s="104" t="s">
        <v>5</v>
      </c>
      <c r="C14" s="104" t="s">
        <v>7</v>
      </c>
      <c r="D14" s="104" t="s">
        <v>8</v>
      </c>
      <c r="E14" s="104"/>
      <c r="F14" s="104"/>
      <c r="G14" s="104" t="s">
        <v>9</v>
      </c>
      <c r="H14" s="103" t="s">
        <v>23</v>
      </c>
      <c r="I14" s="119" t="s">
        <v>31</v>
      </c>
      <c r="J14" s="120"/>
      <c r="K14" s="103" t="s">
        <v>32</v>
      </c>
      <c r="L14" s="6"/>
      <c r="M14" s="6"/>
      <c r="N14" s="6"/>
    </row>
    <row r="15" spans="1:14">
      <c r="A15" s="10"/>
      <c r="B15" s="104"/>
      <c r="C15" s="104"/>
      <c r="D15" s="104"/>
      <c r="E15" s="104"/>
      <c r="F15" s="104"/>
      <c r="G15" s="104"/>
      <c r="H15" s="103"/>
      <c r="I15" s="28" t="s">
        <v>25</v>
      </c>
      <c r="J15" s="28" t="s">
        <v>6</v>
      </c>
      <c r="K15" s="104"/>
      <c r="L15" s="6"/>
      <c r="M15" s="6"/>
      <c r="N15" s="6"/>
    </row>
    <row r="16" spans="1:14" ht="63">
      <c r="A16" s="10"/>
      <c r="B16" s="87" t="str">
        <f>master!B4</f>
        <v>導入</v>
      </c>
      <c r="C16" s="50" t="str">
        <f>master!C4</f>
        <v>はじめに　｜　“Be a social designer”とは</v>
      </c>
      <c r="D16" s="110" t="s">
        <v>117</v>
      </c>
      <c r="E16" s="111"/>
      <c r="F16" s="112"/>
      <c r="G16" s="50" t="s">
        <v>113</v>
      </c>
      <c r="H16" s="12"/>
      <c r="I16" s="48" t="s">
        <v>24</v>
      </c>
      <c r="J16" s="46">
        <v>2.0833333333333333E-3</v>
      </c>
      <c r="K16" s="43"/>
      <c r="L16" s="6"/>
      <c r="M16" s="6"/>
      <c r="N16" s="6"/>
    </row>
    <row r="17" spans="1:14" ht="63">
      <c r="A17" s="10"/>
      <c r="B17" s="122" t="str">
        <f>master!B5</f>
        <v>企画提案のステップ</v>
      </c>
      <c r="C17" s="50" t="str">
        <f>master!C5</f>
        <v>企画提案のステップ</v>
      </c>
      <c r="D17" s="110" t="s">
        <v>118</v>
      </c>
      <c r="E17" s="111"/>
      <c r="F17" s="112"/>
      <c r="G17" s="50" t="s">
        <v>113</v>
      </c>
      <c r="H17" s="12"/>
      <c r="I17" s="48" t="s">
        <v>24</v>
      </c>
      <c r="J17" s="46">
        <v>2.0833333333333333E-3</v>
      </c>
      <c r="K17" s="43"/>
      <c r="L17" s="6"/>
      <c r="M17" s="6"/>
      <c r="N17" s="6"/>
    </row>
    <row r="18" spans="1:14" ht="163.80000000000001">
      <c r="A18" s="11"/>
      <c r="B18" s="123"/>
      <c r="C18" s="50" t="str">
        <f>master!C6</f>
        <v>STEP①-1　日常の不便を考える</v>
      </c>
      <c r="D18" s="110" t="s">
        <v>165</v>
      </c>
      <c r="E18" s="111"/>
      <c r="F18" s="112"/>
      <c r="G18" s="50" t="s">
        <v>164</v>
      </c>
      <c r="H18" s="12"/>
      <c r="I18" s="48" t="s">
        <v>24</v>
      </c>
      <c r="J18" s="46">
        <v>3.472222222222222E-3</v>
      </c>
      <c r="K18" s="43"/>
      <c r="L18" s="6"/>
      <c r="M18" s="6"/>
      <c r="N18" s="6"/>
    </row>
    <row r="19" spans="1:14" ht="37.799999999999997">
      <c r="A19" s="11"/>
      <c r="B19" s="123"/>
      <c r="C19" s="50" t="str">
        <f>master!C7</f>
        <v>STEP①-2　課題の深掘り</v>
      </c>
      <c r="D19" s="110" t="s">
        <v>119</v>
      </c>
      <c r="E19" s="111"/>
      <c r="F19" s="112"/>
      <c r="G19" s="50" t="s">
        <v>36</v>
      </c>
      <c r="H19" s="12"/>
      <c r="I19" s="48" t="s">
        <v>24</v>
      </c>
      <c r="J19" s="46">
        <v>1.3888888888888889E-3</v>
      </c>
      <c r="K19" s="43"/>
      <c r="L19" s="6"/>
      <c r="M19" s="6"/>
      <c r="N19" s="6"/>
    </row>
    <row r="20" spans="1:14" ht="151.19999999999999">
      <c r="A20" s="11"/>
      <c r="B20" s="123"/>
      <c r="C20" s="50" t="str">
        <f>master!C8</f>
        <v>STEP①-3　ITアイデアへ落とし込む</v>
      </c>
      <c r="D20" s="110" t="s">
        <v>120</v>
      </c>
      <c r="E20" s="111"/>
      <c r="F20" s="112"/>
      <c r="G20" s="50" t="s">
        <v>43</v>
      </c>
      <c r="H20" s="12"/>
      <c r="I20" s="48" t="s">
        <v>24</v>
      </c>
      <c r="J20" s="46">
        <v>2.0833333333333333E-3</v>
      </c>
      <c r="K20" s="43"/>
      <c r="L20" s="6"/>
      <c r="M20" s="6"/>
      <c r="N20" s="6"/>
    </row>
    <row r="21" spans="1:14" ht="252">
      <c r="A21" s="11"/>
      <c r="B21" s="123"/>
      <c r="C21" s="50" t="str">
        <f>master!C9</f>
        <v>STEP②-1 創出したアイデアに関する調査・確認</v>
      </c>
      <c r="D21" s="110" t="s">
        <v>121</v>
      </c>
      <c r="E21" s="111"/>
      <c r="F21" s="112"/>
      <c r="G21" s="50" t="s">
        <v>45</v>
      </c>
      <c r="H21" s="12"/>
      <c r="I21" s="48" t="s">
        <v>24</v>
      </c>
      <c r="J21" s="46">
        <v>0</v>
      </c>
      <c r="K21" s="43"/>
      <c r="L21" s="6"/>
      <c r="M21" s="6"/>
      <c r="N21" s="6"/>
    </row>
    <row r="22" spans="1:14" ht="126">
      <c r="A22" s="11"/>
      <c r="B22" s="123"/>
      <c r="C22" s="50" t="str">
        <f>master!C10</f>
        <v>STEP②-2 環境分析</v>
      </c>
      <c r="D22" s="110" t="s">
        <v>122</v>
      </c>
      <c r="E22" s="111"/>
      <c r="F22" s="112"/>
      <c r="G22" s="50" t="s">
        <v>44</v>
      </c>
      <c r="H22" s="12"/>
      <c r="I22" s="48" t="s">
        <v>24</v>
      </c>
      <c r="J22" s="46">
        <v>2.0833333333333333E-3</v>
      </c>
      <c r="K22" s="43"/>
      <c r="L22" s="6"/>
      <c r="M22" s="6"/>
      <c r="N22" s="6"/>
    </row>
    <row r="23" spans="1:14" ht="63">
      <c r="A23" s="11"/>
      <c r="B23" s="123"/>
      <c r="C23" s="50" t="str">
        <f>master!C11</f>
        <v>（参考）PEST分析</v>
      </c>
      <c r="D23" s="110" t="s">
        <v>123</v>
      </c>
      <c r="E23" s="111"/>
      <c r="F23" s="112"/>
      <c r="G23" s="50" t="s">
        <v>113</v>
      </c>
      <c r="H23" s="12"/>
      <c r="I23" s="48" t="s">
        <v>24</v>
      </c>
      <c r="J23" s="46">
        <v>1.3888888888888889E-3</v>
      </c>
      <c r="K23" s="43"/>
      <c r="L23" s="6"/>
      <c r="M23" s="6"/>
      <c r="N23" s="6"/>
    </row>
    <row r="24" spans="1:14" ht="75.599999999999994">
      <c r="A24" s="11"/>
      <c r="B24" s="123"/>
      <c r="C24" s="50" t="str">
        <f>master!C12</f>
        <v>（参考） 3C分析</v>
      </c>
      <c r="D24" s="110" t="s">
        <v>124</v>
      </c>
      <c r="E24" s="111"/>
      <c r="F24" s="112"/>
      <c r="G24" s="50" t="s">
        <v>37</v>
      </c>
      <c r="H24" s="12"/>
      <c r="I24" s="48" t="s">
        <v>24</v>
      </c>
      <c r="J24" s="46">
        <v>1.3888888888888889E-3</v>
      </c>
      <c r="K24" s="43"/>
      <c r="L24" s="6"/>
      <c r="M24" s="6"/>
      <c r="N24" s="6"/>
    </row>
    <row r="25" spans="1:14" ht="75.599999999999994">
      <c r="A25" s="11"/>
      <c r="B25" s="123"/>
      <c r="C25" s="50" t="str">
        <f>master!C13</f>
        <v>（参考） SWOT分析</v>
      </c>
      <c r="D25" s="110" t="s">
        <v>125</v>
      </c>
      <c r="E25" s="111"/>
      <c r="F25" s="112"/>
      <c r="G25" s="50" t="s">
        <v>37</v>
      </c>
      <c r="H25" s="12"/>
      <c r="I25" s="48" t="s">
        <v>24</v>
      </c>
      <c r="J25" s="46">
        <v>1.3888888888888889E-3</v>
      </c>
      <c r="K25" s="43"/>
      <c r="L25" s="6"/>
      <c r="M25" s="6"/>
      <c r="N25" s="6"/>
    </row>
    <row r="26" spans="1:14" ht="113.4">
      <c r="A26" s="11"/>
      <c r="B26" s="123"/>
      <c r="C26" s="50" t="str">
        <f>master!C14</f>
        <v>STEP③-1 提案書作成</v>
      </c>
      <c r="D26" s="110" t="s">
        <v>126</v>
      </c>
      <c r="E26" s="111"/>
      <c r="F26" s="112"/>
      <c r="G26" s="50" t="s">
        <v>38</v>
      </c>
      <c r="H26" s="12"/>
      <c r="I26" s="48" t="s">
        <v>24</v>
      </c>
      <c r="J26" s="46">
        <v>1.3888888888888889E-3</v>
      </c>
      <c r="K26" s="43"/>
      <c r="L26" s="6"/>
      <c r="M26" s="6"/>
      <c r="N26" s="6"/>
    </row>
    <row r="27" spans="1:14" ht="88.2">
      <c r="A27" s="11"/>
      <c r="B27" s="123"/>
      <c r="C27" s="50" t="str">
        <f>master!C15</f>
        <v>STEP③-2 プロトタイプ作成</v>
      </c>
      <c r="D27" s="110" t="s">
        <v>127</v>
      </c>
      <c r="E27" s="111"/>
      <c r="F27" s="112"/>
      <c r="G27" s="50" t="s">
        <v>39</v>
      </c>
      <c r="H27" s="12"/>
      <c r="I27" s="48" t="s">
        <v>24</v>
      </c>
      <c r="J27" s="46">
        <v>1.3888888888888889E-3</v>
      </c>
      <c r="K27" s="43"/>
      <c r="L27" s="6"/>
      <c r="M27" s="6"/>
      <c r="N27" s="6"/>
    </row>
    <row r="28" spans="1:14" ht="113.4">
      <c r="A28" s="11"/>
      <c r="B28" s="124"/>
      <c r="C28" s="50" t="str">
        <f>master!C16</f>
        <v>まとめ</v>
      </c>
      <c r="D28" s="110" t="s">
        <v>128</v>
      </c>
      <c r="E28" s="111"/>
      <c r="F28" s="112"/>
      <c r="G28" s="50" t="s">
        <v>38</v>
      </c>
      <c r="H28" s="12"/>
      <c r="I28" s="48" t="s">
        <v>24</v>
      </c>
      <c r="J28" s="46">
        <v>1.3888888888888889E-3</v>
      </c>
      <c r="K28" s="43"/>
      <c r="L28" s="6"/>
      <c r="M28" s="6"/>
      <c r="N28" s="6"/>
    </row>
    <row r="29" spans="1:14" ht="37.799999999999997">
      <c r="A29" s="11"/>
      <c r="B29" s="122" t="str">
        <f>master!B18</f>
        <v>提案書のサンプルについて</v>
      </c>
      <c r="C29" s="50" t="str">
        <f>master!C18</f>
        <v>はじめに</v>
      </c>
      <c r="D29" s="110" t="s">
        <v>150</v>
      </c>
      <c r="E29" s="111"/>
      <c r="F29" s="112"/>
      <c r="G29" s="50" t="s">
        <v>131</v>
      </c>
      <c r="H29" s="12"/>
      <c r="I29" s="48" t="s">
        <v>24</v>
      </c>
      <c r="J29" s="46">
        <v>6.9444444444444447E-4</v>
      </c>
      <c r="K29" s="43"/>
      <c r="L29" s="6"/>
      <c r="M29" s="6"/>
      <c r="N29" s="6"/>
    </row>
    <row r="30" spans="1:14" ht="25.2">
      <c r="A30" s="11"/>
      <c r="B30" s="123"/>
      <c r="C30" s="50" t="str">
        <f>master!C19</f>
        <v>１．サマリ</v>
      </c>
      <c r="D30" s="110" t="s">
        <v>129</v>
      </c>
      <c r="E30" s="111"/>
      <c r="F30" s="112"/>
      <c r="G30" s="50" t="s">
        <v>89</v>
      </c>
      <c r="H30" s="12"/>
      <c r="I30" s="48" t="s">
        <v>24</v>
      </c>
      <c r="J30" s="46">
        <v>6.9444444444444447E-4</v>
      </c>
      <c r="K30" s="43"/>
      <c r="L30" s="6"/>
      <c r="M30" s="6"/>
      <c r="N30" s="6"/>
    </row>
    <row r="31" spans="1:14" ht="25.2">
      <c r="A31" s="11"/>
      <c r="B31" s="123"/>
      <c r="C31" s="50" t="str">
        <f>master!C20</f>
        <v>２．背景</v>
      </c>
      <c r="D31" s="110" t="s">
        <v>147</v>
      </c>
      <c r="E31" s="111"/>
      <c r="F31" s="112"/>
      <c r="G31" s="50" t="s">
        <v>89</v>
      </c>
      <c r="H31" s="12"/>
      <c r="I31" s="48" t="s">
        <v>24</v>
      </c>
      <c r="J31" s="46">
        <v>1.3888888888888889E-3</v>
      </c>
      <c r="K31" s="43"/>
      <c r="L31" s="6"/>
      <c r="M31" s="6"/>
      <c r="N31" s="6"/>
    </row>
    <row r="32" spans="1:14" ht="25.2">
      <c r="A32" s="11"/>
      <c r="B32" s="123"/>
      <c r="C32" s="50" t="str">
        <f>master!C21</f>
        <v>３．現状課題</v>
      </c>
      <c r="D32" s="110" t="s">
        <v>148</v>
      </c>
      <c r="E32" s="111"/>
      <c r="F32" s="112"/>
      <c r="G32" s="50" t="s">
        <v>89</v>
      </c>
      <c r="H32" s="12"/>
      <c r="I32" s="48" t="s">
        <v>24</v>
      </c>
      <c r="J32" s="46">
        <v>1.3888888888888889E-3</v>
      </c>
      <c r="K32" s="43"/>
      <c r="L32" s="6"/>
      <c r="M32" s="6"/>
      <c r="N32" s="6"/>
    </row>
    <row r="33" spans="1:14" ht="63">
      <c r="A33" s="11"/>
      <c r="B33" s="123"/>
      <c r="C33" s="50" t="str">
        <f>master!C22</f>
        <v>４．業界動向・市場分析</v>
      </c>
      <c r="D33" s="110" t="s">
        <v>134</v>
      </c>
      <c r="E33" s="111"/>
      <c r="F33" s="112"/>
      <c r="G33" s="50" t="s">
        <v>132</v>
      </c>
      <c r="H33" s="12"/>
      <c r="I33" s="48" t="s">
        <v>24</v>
      </c>
      <c r="J33" s="46">
        <v>1.3888888888888889E-3</v>
      </c>
      <c r="K33" s="43"/>
      <c r="L33" s="6"/>
      <c r="M33" s="6"/>
      <c r="N33" s="6"/>
    </row>
    <row r="34" spans="1:14" ht="37.799999999999997">
      <c r="A34" s="11"/>
      <c r="B34" s="123"/>
      <c r="C34" s="50" t="str">
        <f>master!C23</f>
        <v>５．市場機会</v>
      </c>
      <c r="D34" s="110" t="s">
        <v>137</v>
      </c>
      <c r="E34" s="111"/>
      <c r="F34" s="112"/>
      <c r="G34" s="50" t="s">
        <v>131</v>
      </c>
      <c r="H34" s="12"/>
      <c r="I34" s="48" t="s">
        <v>24</v>
      </c>
      <c r="J34" s="46">
        <v>1.3888888888888889E-3</v>
      </c>
      <c r="K34" s="43"/>
      <c r="L34" s="6"/>
      <c r="M34" s="6"/>
      <c r="N34" s="6"/>
    </row>
    <row r="35" spans="1:14" ht="37.799999999999997">
      <c r="A35" s="11"/>
      <c r="B35" s="123"/>
      <c r="C35" s="50" t="str">
        <f>master!C24</f>
        <v>６．サービス概要</v>
      </c>
      <c r="D35" s="110" t="s">
        <v>138</v>
      </c>
      <c r="E35" s="111"/>
      <c r="F35" s="112"/>
      <c r="G35" s="50" t="s">
        <v>131</v>
      </c>
      <c r="H35" s="12"/>
      <c r="I35" s="48" t="s">
        <v>24</v>
      </c>
      <c r="J35" s="46">
        <v>1.3888888888888889E-3</v>
      </c>
      <c r="K35" s="43"/>
      <c r="L35" s="6"/>
      <c r="M35" s="6"/>
      <c r="N35" s="6"/>
    </row>
    <row r="36" spans="1:14" ht="63">
      <c r="A36" s="11"/>
      <c r="B36" s="123"/>
      <c r="C36" s="50" t="str">
        <f>master!C25</f>
        <v>７．利用者体験イメージ</v>
      </c>
      <c r="D36" s="110" t="s">
        <v>139</v>
      </c>
      <c r="E36" s="111"/>
      <c r="F36" s="112"/>
      <c r="G36" s="50" t="s">
        <v>132</v>
      </c>
      <c r="H36" s="12"/>
      <c r="I36" s="48" t="s">
        <v>24</v>
      </c>
      <c r="J36" s="46">
        <v>1.3888888888888889E-3</v>
      </c>
      <c r="K36" s="43"/>
      <c r="L36" s="6"/>
      <c r="M36" s="6"/>
      <c r="N36" s="6"/>
    </row>
    <row r="37" spans="1:14" ht="25.2">
      <c r="A37" s="11"/>
      <c r="B37" s="123"/>
      <c r="C37" s="50" t="str">
        <f>master!C26</f>
        <v>８．事業構成</v>
      </c>
      <c r="D37" s="110" t="s">
        <v>130</v>
      </c>
      <c r="E37" s="111"/>
      <c r="F37" s="112"/>
      <c r="G37" s="50" t="s">
        <v>89</v>
      </c>
      <c r="H37" s="12"/>
      <c r="I37" s="48" t="s">
        <v>24</v>
      </c>
      <c r="J37" s="46">
        <v>1.3888888888888889E-3</v>
      </c>
      <c r="K37" s="43"/>
      <c r="L37" s="6"/>
      <c r="M37" s="6"/>
      <c r="N37" s="6"/>
    </row>
    <row r="38" spans="1:14" ht="37.799999999999997">
      <c r="A38" s="11"/>
      <c r="B38" s="123"/>
      <c r="C38" s="50" t="str">
        <f>master!C27</f>
        <v>９．提供価値</v>
      </c>
      <c r="D38" s="110" t="s">
        <v>140</v>
      </c>
      <c r="E38" s="111"/>
      <c r="F38" s="112"/>
      <c r="G38" s="50" t="s">
        <v>131</v>
      </c>
      <c r="H38" s="12"/>
      <c r="I38" s="48" t="s">
        <v>24</v>
      </c>
      <c r="J38" s="46">
        <v>1.3888888888888889E-3</v>
      </c>
      <c r="K38" s="43"/>
      <c r="L38" s="6"/>
      <c r="M38" s="6"/>
      <c r="N38" s="6"/>
    </row>
    <row r="39" spans="1:14" ht="63">
      <c r="A39" s="11"/>
      <c r="B39" s="123"/>
      <c r="C39" s="50" t="str">
        <f>master!C28</f>
        <v>１０．収益モデル</v>
      </c>
      <c r="D39" s="110" t="s">
        <v>133</v>
      </c>
      <c r="E39" s="111"/>
      <c r="F39" s="112"/>
      <c r="G39" s="50" t="s">
        <v>132</v>
      </c>
      <c r="H39" s="12"/>
      <c r="I39" s="48" t="s">
        <v>24</v>
      </c>
      <c r="J39" s="46">
        <v>1.3888888888888889E-3</v>
      </c>
      <c r="K39" s="43"/>
      <c r="L39" s="6"/>
      <c r="M39" s="6"/>
      <c r="N39" s="6"/>
    </row>
    <row r="40" spans="1:14" ht="63">
      <c r="A40" s="11"/>
      <c r="B40" s="123"/>
      <c r="C40" s="50" t="str">
        <f>master!C29</f>
        <v>１１．リスク・課題</v>
      </c>
      <c r="D40" s="110" t="s">
        <v>141</v>
      </c>
      <c r="E40" s="111"/>
      <c r="F40" s="112"/>
      <c r="G40" s="50" t="s">
        <v>132</v>
      </c>
      <c r="H40" s="12"/>
      <c r="I40" s="48" t="s">
        <v>24</v>
      </c>
      <c r="J40" s="46">
        <v>1.3888888888888889E-3</v>
      </c>
      <c r="K40" s="43"/>
      <c r="L40" s="6"/>
      <c r="M40" s="6"/>
      <c r="N40" s="6"/>
    </row>
    <row r="41" spans="1:14" ht="37.799999999999997">
      <c r="A41" s="11"/>
      <c r="B41" s="124"/>
      <c r="C41" s="50" t="str">
        <f>master!C30</f>
        <v>１２．今後の展望</v>
      </c>
      <c r="D41" s="110" t="s">
        <v>142</v>
      </c>
      <c r="E41" s="111"/>
      <c r="F41" s="112"/>
      <c r="G41" s="50" t="s">
        <v>131</v>
      </c>
      <c r="H41" s="12"/>
      <c r="I41" s="48" t="s">
        <v>24</v>
      </c>
      <c r="J41" s="46">
        <v>6.9444444444444447E-4</v>
      </c>
      <c r="K41" s="43"/>
      <c r="L41" s="6"/>
      <c r="M41" s="6"/>
      <c r="N41" s="6"/>
    </row>
    <row r="42" spans="1:14" ht="113.4">
      <c r="A42" s="11"/>
      <c r="B42" s="128" t="str">
        <f>master!B32</f>
        <v>個人演習</v>
      </c>
      <c r="C42" s="69" t="str">
        <f>master!C32</f>
        <v>演習内容の説明</v>
      </c>
      <c r="D42" s="113" t="s">
        <v>111</v>
      </c>
      <c r="E42" s="114"/>
      <c r="F42" s="115"/>
      <c r="G42" s="69" t="s">
        <v>95</v>
      </c>
      <c r="H42" s="70"/>
      <c r="I42" s="71" t="s">
        <v>24</v>
      </c>
      <c r="J42" s="72">
        <v>1.3888888888888889E-3</v>
      </c>
      <c r="K42" s="73"/>
      <c r="L42" s="6"/>
      <c r="M42" s="6"/>
      <c r="N42" s="6"/>
    </row>
    <row r="43" spans="1:14" ht="201.6">
      <c r="A43" s="11"/>
      <c r="B43" s="129"/>
      <c r="C43" s="69" t="str">
        <f>master!C33</f>
        <v>演習成果物の説明</v>
      </c>
      <c r="D43" s="113" t="s">
        <v>143</v>
      </c>
      <c r="E43" s="114"/>
      <c r="F43" s="115"/>
      <c r="G43" s="69" t="s">
        <v>97</v>
      </c>
      <c r="H43" s="70"/>
      <c r="I43" s="71" t="s">
        <v>24</v>
      </c>
      <c r="J43" s="72">
        <v>1.3888888888888889E-3</v>
      </c>
      <c r="K43" s="73"/>
      <c r="L43" s="6"/>
      <c r="M43" s="6"/>
      <c r="N43" s="6"/>
    </row>
    <row r="44" spans="1:14" ht="176.4">
      <c r="A44" s="11"/>
      <c r="B44" s="129"/>
      <c r="C44" s="69" t="str">
        <f>master!C34</f>
        <v>サービスの検討</v>
      </c>
      <c r="D44" s="113" t="s">
        <v>106</v>
      </c>
      <c r="E44" s="114"/>
      <c r="F44" s="115"/>
      <c r="G44" s="69" t="s">
        <v>99</v>
      </c>
      <c r="H44" s="70"/>
      <c r="I44" s="71" t="s">
        <v>24</v>
      </c>
      <c r="J44" s="72">
        <v>1.3888888888888888E-2</v>
      </c>
      <c r="K44" s="73"/>
      <c r="L44" s="6"/>
      <c r="M44" s="6"/>
      <c r="N44" s="6"/>
    </row>
    <row r="45" spans="1:14" ht="138.6">
      <c r="A45" s="11"/>
      <c r="B45" s="129"/>
      <c r="C45" s="69" t="str">
        <f>master!C35</f>
        <v>サービスのブラッシュアップ</v>
      </c>
      <c r="D45" s="113" t="s">
        <v>105</v>
      </c>
      <c r="E45" s="114"/>
      <c r="F45" s="115"/>
      <c r="G45" s="69" t="s">
        <v>101</v>
      </c>
      <c r="H45" s="70"/>
      <c r="I45" s="71" t="s">
        <v>24</v>
      </c>
      <c r="J45" s="72">
        <v>2.0833333333333332E-2</v>
      </c>
      <c r="K45" s="73"/>
      <c r="L45" s="6"/>
      <c r="M45" s="6"/>
      <c r="N45" s="6"/>
    </row>
    <row r="46" spans="1:14" ht="63">
      <c r="A46" s="11"/>
      <c r="B46" s="129"/>
      <c r="C46" s="69" t="str">
        <f>master!C36</f>
        <v>サービスの決定</v>
      </c>
      <c r="D46" s="113" t="s">
        <v>104</v>
      </c>
      <c r="E46" s="114"/>
      <c r="F46" s="115"/>
      <c r="G46" s="69" t="s">
        <v>98</v>
      </c>
      <c r="H46" s="70"/>
      <c r="I46" s="71" t="s">
        <v>24</v>
      </c>
      <c r="J46" s="72">
        <v>2.0833333333333332E-2</v>
      </c>
      <c r="K46" s="73"/>
      <c r="L46" s="6"/>
      <c r="M46" s="6"/>
      <c r="N46" s="6"/>
    </row>
    <row r="47" spans="1:14" ht="138.6">
      <c r="A47" s="11"/>
      <c r="B47" s="129"/>
      <c r="C47" s="69" t="str">
        <f>master!C37</f>
        <v>成果物の作成</v>
      </c>
      <c r="D47" s="113" t="s">
        <v>103</v>
      </c>
      <c r="E47" s="114"/>
      <c r="F47" s="115"/>
      <c r="G47" s="69" t="s">
        <v>101</v>
      </c>
      <c r="H47" s="70"/>
      <c r="I47" s="71" t="s">
        <v>24</v>
      </c>
      <c r="J47" s="72" t="s">
        <v>135</v>
      </c>
      <c r="K47" s="73"/>
      <c r="L47" s="6"/>
      <c r="M47" s="6"/>
      <c r="N47" s="6"/>
    </row>
    <row r="48" spans="1:14" ht="25.2">
      <c r="A48" s="11"/>
      <c r="B48" s="130"/>
      <c r="C48" s="69" t="str">
        <f>master!C38</f>
        <v>成果物の提出</v>
      </c>
      <c r="D48" s="113" t="s">
        <v>102</v>
      </c>
      <c r="E48" s="114"/>
      <c r="F48" s="115"/>
      <c r="G48" s="69" t="s">
        <v>107</v>
      </c>
      <c r="H48" s="70"/>
      <c r="I48" s="71" t="s">
        <v>24</v>
      </c>
      <c r="J48" s="72" t="s">
        <v>135</v>
      </c>
      <c r="K48" s="73"/>
      <c r="L48" s="6"/>
      <c r="M48" s="6"/>
      <c r="N48" s="6"/>
    </row>
    <row r="49" spans="1:14" ht="100.8">
      <c r="A49" s="11"/>
      <c r="B49" s="128" t="str">
        <f>master!B40</f>
        <v>チーム演習</v>
      </c>
      <c r="C49" s="69" t="str">
        <f>master!C40</f>
        <v>演習内容の説明</v>
      </c>
      <c r="D49" s="113" t="s">
        <v>110</v>
      </c>
      <c r="E49" s="114"/>
      <c r="F49" s="115"/>
      <c r="G49" s="69" t="s">
        <v>151</v>
      </c>
      <c r="H49" s="70"/>
      <c r="I49" s="71" t="s">
        <v>24</v>
      </c>
      <c r="J49" s="72">
        <v>1.3888888888888889E-3</v>
      </c>
      <c r="K49" s="73"/>
      <c r="L49" s="6"/>
      <c r="M49" s="6"/>
      <c r="N49" s="6"/>
    </row>
    <row r="50" spans="1:14" ht="201.6">
      <c r="A50" s="11"/>
      <c r="B50" s="129"/>
      <c r="C50" s="69" t="str">
        <f>master!C41</f>
        <v>演習成果物の説明</v>
      </c>
      <c r="D50" s="113" t="s">
        <v>144</v>
      </c>
      <c r="E50" s="114"/>
      <c r="F50" s="115"/>
      <c r="G50" s="69" t="s">
        <v>152</v>
      </c>
      <c r="H50" s="70"/>
      <c r="I50" s="71" t="s">
        <v>24</v>
      </c>
      <c r="J50" s="72">
        <v>1.3888888888888889E-3</v>
      </c>
      <c r="K50" s="73"/>
      <c r="L50" s="6"/>
      <c r="M50" s="6"/>
      <c r="N50" s="6"/>
    </row>
    <row r="51" spans="1:14" ht="37.799999999999997">
      <c r="A51" s="11"/>
      <c r="B51" s="129"/>
      <c r="C51" s="69" t="str">
        <f>master!C42</f>
        <v>【参考】最終発表時の評価基準</v>
      </c>
      <c r="D51" s="113" t="s">
        <v>145</v>
      </c>
      <c r="E51" s="114"/>
      <c r="F51" s="115"/>
      <c r="G51" s="69" t="s">
        <v>153</v>
      </c>
      <c r="H51" s="70"/>
      <c r="I51" s="71" t="s">
        <v>24</v>
      </c>
      <c r="J51" s="72">
        <v>1.3888888888888889E-3</v>
      </c>
      <c r="K51" s="73"/>
      <c r="L51" s="6"/>
      <c r="M51" s="6"/>
      <c r="N51" s="6"/>
    </row>
    <row r="52" spans="1:14" ht="113.4">
      <c r="A52" s="11"/>
      <c r="B52" s="129"/>
      <c r="C52" s="69" t="str">
        <f>master!C43</f>
        <v>サービスの提案</v>
      </c>
      <c r="D52" s="113" t="s">
        <v>161</v>
      </c>
      <c r="E52" s="114"/>
      <c r="F52" s="115"/>
      <c r="G52" s="69" t="s">
        <v>154</v>
      </c>
      <c r="H52" s="70"/>
      <c r="I52" s="71" t="s">
        <v>24</v>
      </c>
      <c r="J52" s="72">
        <v>4.1666666666666664E-2</v>
      </c>
      <c r="K52" s="73"/>
      <c r="L52" s="6"/>
      <c r="M52" s="6"/>
      <c r="N52" s="6"/>
    </row>
    <row r="53" spans="1:14" ht="100.8">
      <c r="A53" s="11"/>
      <c r="B53" s="129"/>
      <c r="C53" s="69" t="str">
        <f>master!C44</f>
        <v>サービスの決定（チーム）</v>
      </c>
      <c r="D53" s="113" t="s">
        <v>146</v>
      </c>
      <c r="E53" s="114"/>
      <c r="F53" s="115"/>
      <c r="G53" s="69" t="s">
        <v>151</v>
      </c>
      <c r="H53" s="70"/>
      <c r="I53" s="71" t="s">
        <v>24</v>
      </c>
      <c r="J53" s="72" t="s">
        <v>135</v>
      </c>
      <c r="K53" s="73"/>
      <c r="L53" s="6"/>
      <c r="M53" s="6"/>
      <c r="N53" s="6"/>
    </row>
    <row r="54" spans="1:14" ht="113.4">
      <c r="A54" s="11"/>
      <c r="B54" s="129"/>
      <c r="C54" s="69" t="str">
        <f>master!C45</f>
        <v>成果物の作成</v>
      </c>
      <c r="D54" s="113" t="s">
        <v>112</v>
      </c>
      <c r="E54" s="114"/>
      <c r="F54" s="115"/>
      <c r="G54" s="69" t="s">
        <v>154</v>
      </c>
      <c r="H54" s="70"/>
      <c r="I54" s="71" t="s">
        <v>24</v>
      </c>
      <c r="J54" s="72" t="s">
        <v>135</v>
      </c>
      <c r="K54" s="73"/>
      <c r="L54" s="6"/>
      <c r="M54" s="6"/>
      <c r="N54" s="6"/>
    </row>
    <row r="55" spans="1:14" ht="25.2">
      <c r="A55" s="11"/>
      <c r="B55" s="129"/>
      <c r="C55" s="69" t="str">
        <f>master!C46</f>
        <v>成果物の提出</v>
      </c>
      <c r="D55" s="113" t="s">
        <v>102</v>
      </c>
      <c r="E55" s="114"/>
      <c r="F55" s="115"/>
      <c r="G55" s="69" t="s">
        <v>155</v>
      </c>
      <c r="H55" s="70"/>
      <c r="I55" s="71" t="s">
        <v>24</v>
      </c>
      <c r="J55" s="72" t="s">
        <v>135</v>
      </c>
      <c r="K55" s="73"/>
      <c r="L55" s="6"/>
      <c r="M55" s="6"/>
      <c r="N55" s="6"/>
    </row>
    <row r="56" spans="1:14" ht="25.2">
      <c r="A56" s="11"/>
      <c r="B56" s="130"/>
      <c r="C56" s="69" t="str">
        <f>master!C47</f>
        <v>提案のリハーサル</v>
      </c>
      <c r="D56" s="113" t="s">
        <v>159</v>
      </c>
      <c r="E56" s="114"/>
      <c r="F56" s="115"/>
      <c r="G56" s="69" t="s">
        <v>155</v>
      </c>
      <c r="H56" s="70"/>
      <c r="I56" s="71" t="s">
        <v>24</v>
      </c>
      <c r="J56" s="72" t="s">
        <v>135</v>
      </c>
      <c r="K56" s="73"/>
      <c r="L56" s="6"/>
      <c r="M56" s="6"/>
      <c r="N56" s="6"/>
    </row>
    <row r="57" spans="1:14" ht="100.8">
      <c r="A57" s="11"/>
      <c r="B57" s="125" t="str">
        <f>master!B49</f>
        <v>提案会（ブロック代表の決定）</v>
      </c>
      <c r="C57" s="76" t="str">
        <f>master!C49</f>
        <v>ブロック内発表の説明</v>
      </c>
      <c r="D57" s="116" t="s">
        <v>114</v>
      </c>
      <c r="E57" s="117"/>
      <c r="F57" s="118"/>
      <c r="G57" s="76" t="s">
        <v>156</v>
      </c>
      <c r="H57" s="77"/>
      <c r="I57" s="78" t="s">
        <v>24</v>
      </c>
      <c r="J57" s="79">
        <v>6.9444444444444441E-3</v>
      </c>
      <c r="K57" s="80"/>
      <c r="L57" s="6"/>
      <c r="M57" s="6"/>
      <c r="N57" s="6"/>
    </row>
    <row r="58" spans="1:14" ht="113.4">
      <c r="A58" s="11"/>
      <c r="B58" s="126"/>
      <c r="C58" s="76" t="str">
        <f>master!C50</f>
        <v>ブロック内発表の実施</v>
      </c>
      <c r="D58" s="116" t="s">
        <v>162</v>
      </c>
      <c r="E58" s="117"/>
      <c r="F58" s="118"/>
      <c r="G58" s="76" t="s">
        <v>157</v>
      </c>
      <c r="H58" s="77"/>
      <c r="I58" s="78" t="s">
        <v>24</v>
      </c>
      <c r="J58" s="79" t="s">
        <v>135</v>
      </c>
      <c r="K58" s="80"/>
      <c r="L58" s="6"/>
      <c r="M58" s="6"/>
      <c r="N58" s="6"/>
    </row>
    <row r="59" spans="1:14" ht="25.2">
      <c r="A59" s="11"/>
      <c r="B59" s="127"/>
      <c r="C59" s="76" t="str">
        <f>master!C51</f>
        <v>ブロック代表（選抜チーム）の決定</v>
      </c>
      <c r="D59" s="116" t="s">
        <v>116</v>
      </c>
      <c r="E59" s="117"/>
      <c r="F59" s="118"/>
      <c r="G59" s="76" t="s">
        <v>158</v>
      </c>
      <c r="H59" s="77"/>
      <c r="I59" s="78" t="s">
        <v>24</v>
      </c>
      <c r="J59" s="79">
        <v>1.3888888888888888E-2</v>
      </c>
      <c r="K59" s="80"/>
      <c r="L59" s="6"/>
      <c r="M59" s="6"/>
      <c r="N59" s="6"/>
    </row>
    <row r="60" spans="1:14" ht="113.4">
      <c r="A60" s="11"/>
      <c r="B60" s="81" t="str">
        <f>master!B52</f>
        <v>提案会（最終）</v>
      </c>
      <c r="C60" s="76" t="str">
        <f>master!C52</f>
        <v>全体発表</v>
      </c>
      <c r="D60" s="116" t="s">
        <v>163</v>
      </c>
      <c r="E60" s="117"/>
      <c r="F60" s="118"/>
      <c r="G60" s="76" t="s">
        <v>157</v>
      </c>
      <c r="H60" s="77"/>
      <c r="I60" s="78" t="s">
        <v>24</v>
      </c>
      <c r="J60" s="79" t="s">
        <v>135</v>
      </c>
      <c r="K60" s="80"/>
      <c r="L60" s="6"/>
      <c r="M60" s="6"/>
      <c r="N60" s="6"/>
    </row>
  </sheetData>
  <mergeCells count="60">
    <mergeCell ref="B17:B28"/>
    <mergeCell ref="D29:F29"/>
    <mergeCell ref="B29:B41"/>
    <mergeCell ref="B57:B59"/>
    <mergeCell ref="D45:F45"/>
    <mergeCell ref="B42:B48"/>
    <mergeCell ref="B49:B56"/>
    <mergeCell ref="D30:F30"/>
    <mergeCell ref="D59:F59"/>
    <mergeCell ref="D42:F42"/>
    <mergeCell ref="D46:F46"/>
    <mergeCell ref="D47:F47"/>
    <mergeCell ref="D48:F48"/>
    <mergeCell ref="D52:F52"/>
    <mergeCell ref="D51:F51"/>
    <mergeCell ref="D44:F44"/>
    <mergeCell ref="I14:J14"/>
    <mergeCell ref="H14:H15"/>
    <mergeCell ref="B4:E4"/>
    <mergeCell ref="B5:K6"/>
    <mergeCell ref="D14:F15"/>
    <mergeCell ref="G14:G15"/>
    <mergeCell ref="B14:B15"/>
    <mergeCell ref="C14:C15"/>
    <mergeCell ref="K14:K15"/>
    <mergeCell ref="D8:E8"/>
    <mergeCell ref="D17:F17"/>
    <mergeCell ref="D23:F23"/>
    <mergeCell ref="D18:F18"/>
    <mergeCell ref="D20:F20"/>
    <mergeCell ref="D22:F22"/>
    <mergeCell ref="D19:F19"/>
    <mergeCell ref="D55:F55"/>
    <mergeCell ref="D57:F57"/>
    <mergeCell ref="D21:F21"/>
    <mergeCell ref="D24:F24"/>
    <mergeCell ref="D25:F25"/>
    <mergeCell ref="D26:F26"/>
    <mergeCell ref="D27:F27"/>
    <mergeCell ref="D41:F41"/>
    <mergeCell ref="D43:F43"/>
    <mergeCell ref="D49:F49"/>
    <mergeCell ref="D50:F50"/>
    <mergeCell ref="D54:F54"/>
    <mergeCell ref="D16:F16"/>
    <mergeCell ref="D53:F53"/>
    <mergeCell ref="D60:F60"/>
    <mergeCell ref="D31:F31"/>
    <mergeCell ref="D32:F32"/>
    <mergeCell ref="D33:F33"/>
    <mergeCell ref="D34:F34"/>
    <mergeCell ref="D35:F35"/>
    <mergeCell ref="D36:F36"/>
    <mergeCell ref="D37:F37"/>
    <mergeCell ref="D38:F38"/>
    <mergeCell ref="D39:F39"/>
    <mergeCell ref="D40:F40"/>
    <mergeCell ref="D28:F28"/>
    <mergeCell ref="D58:F58"/>
    <mergeCell ref="D56:F56"/>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H16:H60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workbookViewId="0"/>
  </sheetViews>
  <sheetFormatPr defaultColWidth="8.88671875" defaultRowHeight="13.2"/>
  <cols>
    <col min="1" max="1" width="4.6640625" customWidth="1"/>
    <col min="2" max="2" width="40.109375" customWidth="1"/>
    <col min="3" max="3" width="44" bestFit="1" customWidth="1"/>
  </cols>
  <sheetData>
    <row r="1" spans="2:3">
      <c r="B1" t="s">
        <v>46</v>
      </c>
    </row>
    <row r="2" spans="2:3">
      <c r="B2" s="66" t="s">
        <v>12</v>
      </c>
      <c r="C2" s="66" t="s">
        <v>13</v>
      </c>
    </row>
    <row r="3" spans="2:3">
      <c r="B3" s="67"/>
      <c r="C3" s="67"/>
    </row>
    <row r="4" spans="2:3">
      <c r="B4" t="s">
        <v>63</v>
      </c>
      <c r="C4" t="s">
        <v>50</v>
      </c>
    </row>
    <row r="5" spans="2:3">
      <c r="B5" t="s">
        <v>51</v>
      </c>
      <c r="C5" t="s">
        <v>51</v>
      </c>
    </row>
    <row r="6" spans="2:3">
      <c r="C6" t="s">
        <v>52</v>
      </c>
    </row>
    <row r="7" spans="2:3">
      <c r="C7" t="s">
        <v>53</v>
      </c>
    </row>
    <row r="8" spans="2:3">
      <c r="C8" t="s">
        <v>54</v>
      </c>
    </row>
    <row r="9" spans="2:3">
      <c r="C9" t="s">
        <v>55</v>
      </c>
    </row>
    <row r="10" spans="2:3">
      <c r="C10" t="s">
        <v>56</v>
      </c>
    </row>
    <row r="11" spans="2:3">
      <c r="C11" t="s">
        <v>57</v>
      </c>
    </row>
    <row r="12" spans="2:3">
      <c r="C12" t="s">
        <v>58</v>
      </c>
    </row>
    <row r="13" spans="2:3">
      <c r="C13" t="s">
        <v>59</v>
      </c>
    </row>
    <row r="14" spans="2:3">
      <c r="C14" t="s">
        <v>60</v>
      </c>
    </row>
    <row r="15" spans="2:3">
      <c r="C15" t="s">
        <v>61</v>
      </c>
    </row>
    <row r="16" spans="2:3">
      <c r="B16" t="s">
        <v>62</v>
      </c>
      <c r="C16" t="s">
        <v>62</v>
      </c>
    </row>
    <row r="17" spans="2:3">
      <c r="B17" s="67"/>
      <c r="C17" s="67"/>
    </row>
    <row r="18" spans="2:3">
      <c r="B18" t="s">
        <v>136</v>
      </c>
      <c r="C18" s="74" t="s">
        <v>149</v>
      </c>
    </row>
    <row r="19" spans="2:3">
      <c r="C19" s="74" t="s">
        <v>64</v>
      </c>
    </row>
    <row r="20" spans="2:3">
      <c r="C20" s="74" t="s">
        <v>65</v>
      </c>
    </row>
    <row r="21" spans="2:3">
      <c r="C21" s="74" t="s">
        <v>66</v>
      </c>
    </row>
    <row r="22" spans="2:3">
      <c r="C22" s="74" t="s">
        <v>67</v>
      </c>
    </row>
    <row r="23" spans="2:3">
      <c r="C23" s="74" t="s">
        <v>68</v>
      </c>
    </row>
    <row r="24" spans="2:3">
      <c r="C24" s="74" t="s">
        <v>69</v>
      </c>
    </row>
    <row r="25" spans="2:3">
      <c r="C25" s="75" t="s">
        <v>70</v>
      </c>
    </row>
    <row r="26" spans="2:3">
      <c r="C26" s="74" t="s">
        <v>71</v>
      </c>
    </row>
    <row r="27" spans="2:3">
      <c r="C27" s="74" t="s">
        <v>72</v>
      </c>
    </row>
    <row r="28" spans="2:3">
      <c r="C28" s="74" t="s">
        <v>73</v>
      </c>
    </row>
    <row r="29" spans="2:3">
      <c r="C29" s="74" t="s">
        <v>74</v>
      </c>
    </row>
    <row r="30" spans="2:3">
      <c r="C30" s="74" t="s">
        <v>75</v>
      </c>
    </row>
    <row r="31" spans="2:3">
      <c r="B31" s="67"/>
      <c r="C31" s="67"/>
    </row>
    <row r="32" spans="2:3">
      <c r="B32" t="s">
        <v>80</v>
      </c>
      <c r="C32" s="74" t="s">
        <v>76</v>
      </c>
    </row>
    <row r="33" spans="2:3">
      <c r="C33" s="74" t="s">
        <v>96</v>
      </c>
    </row>
    <row r="34" spans="2:3">
      <c r="C34" s="74" t="s">
        <v>90</v>
      </c>
    </row>
    <row r="35" spans="2:3">
      <c r="C35" s="74" t="s">
        <v>100</v>
      </c>
    </row>
    <row r="36" spans="2:3">
      <c r="C36" t="s">
        <v>91</v>
      </c>
    </row>
    <row r="37" spans="2:3">
      <c r="C37" t="s">
        <v>92</v>
      </c>
    </row>
    <row r="38" spans="2:3">
      <c r="C38" t="s">
        <v>93</v>
      </c>
    </row>
    <row r="39" spans="2:3">
      <c r="B39" s="67"/>
      <c r="C39" s="67"/>
    </row>
    <row r="40" spans="2:3">
      <c r="B40" t="s">
        <v>81</v>
      </c>
      <c r="C40" s="74" t="s">
        <v>76</v>
      </c>
    </row>
    <row r="41" spans="2:3">
      <c r="C41" s="74" t="s">
        <v>96</v>
      </c>
    </row>
    <row r="42" spans="2:3">
      <c r="C42" s="74" t="s">
        <v>77</v>
      </c>
    </row>
    <row r="43" spans="2:3">
      <c r="C43" s="74" t="s">
        <v>109</v>
      </c>
    </row>
    <row r="44" spans="2:3">
      <c r="C44" t="s">
        <v>108</v>
      </c>
    </row>
    <row r="45" spans="2:3">
      <c r="C45" t="s">
        <v>92</v>
      </c>
    </row>
    <row r="46" spans="2:3">
      <c r="C46" t="s">
        <v>93</v>
      </c>
    </row>
    <row r="47" spans="2:3">
      <c r="C47" t="s">
        <v>160</v>
      </c>
    </row>
    <row r="48" spans="2:3">
      <c r="B48" s="67"/>
      <c r="C48" s="67"/>
    </row>
    <row r="49" spans="2:3">
      <c r="B49" t="s">
        <v>170</v>
      </c>
      <c r="C49" s="74" t="s">
        <v>94</v>
      </c>
    </row>
    <row r="50" spans="2:3">
      <c r="C50" s="74" t="s">
        <v>78</v>
      </c>
    </row>
    <row r="51" spans="2:3">
      <c r="C51" s="74" t="s">
        <v>115</v>
      </c>
    </row>
    <row r="52" spans="2:3">
      <c r="B52" t="s">
        <v>171</v>
      </c>
      <c r="C52" s="74" t="s">
        <v>79</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スケジュール（5日）</vt:lpstr>
      <vt:lpstr>特記イベント</vt:lpstr>
      <vt:lpstr>講義</vt:lpstr>
      <vt:lpstr>master</vt:lpstr>
      <vt:lpstr>'スケジュール（5日）'!Print_Area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2026-06-18T00:07:36Z</dcterms:modified>
</cp:coreProperties>
</file>
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myrepo\ai_navive\IG\"/>
    </mc:Choice>
  </mc:AlternateContent>
  <xr:revisionPtr revIDLastSave="0" documentId="13_ncr:1_{0E88966D-4F71-411A-B4F1-DD0C3192B991}" xr6:coauthVersionLast="47" xr6:coauthVersionMax="47" xr10:uidLastSave="{00000000-0000-0000-0000-000000000000}"/>
  <bookViews>
    <workbookView xWindow="-108" yWindow="-108" windowWidth="23256" windowHeight="12456" tabRatio="860" xr2:uid="{00000000-000D-0000-FFFF-FFFF00000000}"/>
  </bookViews>
  <sheets>
    <sheet name="スケジュール（1日）" sheetId="33" r:id="rId1"/>
    <sheet name="特記イベント" sheetId="36" r:id="rId2"/>
    <sheet name="講義" sheetId="31" r:id="rId3"/>
    <sheet name="master" sheetId="21" r:id="rId4"/>
  </sheets>
  <definedNames>
    <definedName name="_xlnm.Print_Area" localSheetId="0">'スケジュール（1日）'!$A$1:$H$44</definedName>
    <definedName name="_xlnm.Print_Area" localSheetId="2">講義!$A$1:$L$62</definedName>
    <definedName name="_xlnm.Print_Area" localSheetId="1">特記イベント!$A$1:$L$14</definedName>
  </definedNames>
  <calcPr calcId="191029"/>
</workbook>
</file>

<file path=xl/calcChain.xml><?xml version="1.0" encoding="utf-8"?>
<calcChain xmlns="http://schemas.openxmlformats.org/spreadsheetml/2006/main">
  <c r="C20" i="33" l="1"/>
  <c r="C17" i="33"/>
  <c r="C13" i="33"/>
  <c r="C11" i="33"/>
  <c r="C60" i="31"/>
  <c r="C61" i="31"/>
  <c r="C59" i="31"/>
  <c r="C58" i="31"/>
  <c r="C57" i="31"/>
  <c r="C56" i="31"/>
  <c r="C55" i="31"/>
  <c r="C54" i="31"/>
  <c r="C53" i="31"/>
  <c r="C52" i="31"/>
  <c r="C51" i="31"/>
  <c r="C50" i="31"/>
  <c r="B50" i="31"/>
  <c r="C49" i="31"/>
  <c r="C48" i="31"/>
  <c r="C47" i="31"/>
  <c r="C46" i="31"/>
  <c r="C45" i="31"/>
  <c r="C44" i="31"/>
  <c r="C43" i="31"/>
  <c r="C42" i="31"/>
  <c r="C41" i="31"/>
  <c r="C40" i="31"/>
  <c r="B40" i="31"/>
  <c r="C39" i="31"/>
  <c r="C38" i="31"/>
  <c r="C37" i="31"/>
  <c r="C36" i="31"/>
  <c r="C35" i="31"/>
  <c r="C34" i="31"/>
  <c r="C33" i="31"/>
  <c r="C32" i="31"/>
  <c r="C31" i="31"/>
  <c r="C30" i="31"/>
  <c r="C29" i="31"/>
  <c r="C28" i="31"/>
  <c r="C27" i="31"/>
  <c r="C26" i="31"/>
  <c r="C25" i="31"/>
  <c r="C24" i="31"/>
  <c r="B24" i="31"/>
  <c r="C23" i="31"/>
  <c r="C22" i="31"/>
  <c r="C21" i="31"/>
  <c r="C20" i="31"/>
  <c r="C19" i="31"/>
  <c r="C18" i="31"/>
  <c r="C17" i="31"/>
  <c r="C16" i="31"/>
  <c r="B15" i="31"/>
  <c r="C15" i="31"/>
  <c r="B2"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00000000-0006-0000-01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8" authorId="0" shapeId="0" xr:uid="{00000000-0006-0000-02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<sst xmlns="http://schemas.openxmlformats.org/spreadsheetml/2006/main" count="262" uniqueCount="168">
  <si>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</si>
  <si>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</si>
  <si>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</si>
  <si>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</si>
  <si>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</si>
  <si>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</si>
  <si>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</si>
  <si>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</si>
  <si>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</si>
  <si>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</si>
  <si>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</si>
  <si>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</si>
  <si>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ｐ</t>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</si>
  <si>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</si>
  <si>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</si>
  <si>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</si>
  <si>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</si>
  <si>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</si>
  <si>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</si>
  <si>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</si>
  <si>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</si>
  <si>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</si>
  <si>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</si>
  <si>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</si>
  <si>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</si>
  <si>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</si>
  <si>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</si>
  <si>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</si>
  <si>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</si>
  <si>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</si>
  <si>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</si>
  <si>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研修ファイルサーバの保存先</t>
    <rPh sb="0" eb="2">
      <t>ケンシュウ</t>
    </rPh>
    <rPh sb="10" eb="12">
      <t>ホゾン</t>
    </rPh>
    <rPh sb="12" eb="13">
      <t>サキ</t>
    </rPh>
    <phoneticPr fontId="3"/>
  </si>
  <si>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</si>
  <si>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</si>
  <si>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</si>
  <si>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オリエンテーション用資材</t>
    <rPh sb="9" eb="10">
      <t>ヨウ</t>
    </rPh>
    <rPh sb="10" eb="12">
      <t>シザイ</t>
    </rPh>
    <phoneticPr fontId="3"/>
  </si>
  <si>
    <t>AI-01</t>
    <phoneticPr fontId="3"/>
  </si>
  <si>
    <t>AI-02</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</si>
  <si>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</si>
  <si>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</si>
  <si>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</si>
  <si>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</si>
  <si>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</si>
  <si>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</si>
  <si>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</si>
  <si>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</si>
  <si>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・教材のダウンロード
・本科目の概要説明
　科目の位置づけや目的、全体スケジュールの説明</t>
    <rPh sb="1" eb="3">
      <t>キョウザイ</t>
    </rPh>
    <phoneticPr fontId="3"/>
  </si>
  <si>
    <t xml:space="preserve">・共通1
</t>
    <rPh sb="1" eb="3">
      <t>キョウツウ</t>
    </rPh>
    <phoneticPr fontId="3"/>
  </si>
  <si>
    <t>AI-03</t>
  </si>
  <si>
    <t xml:space="preserve">・AI-01
</t>
    <phoneticPr fontId="3"/>
  </si>
  <si>
    <t xml:space="preserve">・AI-01
</t>
    <phoneticPr fontId="3"/>
  </si>
  <si>
    <t xml:space="preserve">・AI-01
</t>
    <phoneticPr fontId="3"/>
  </si>
  <si>
    <t xml:space="preserve">・AI-01
</t>
    <phoneticPr fontId="3"/>
  </si>
  <si>
    <t>１．IT業界の歴史</t>
  </si>
  <si>
    <t>２．クラウドの市場価値向上</t>
  </si>
  <si>
    <t>３．クラウドとは？</t>
  </si>
  <si>
    <t>４．オンプレミスとのコスト比較</t>
  </si>
  <si>
    <t>５．クラウドの特徴</t>
  </si>
  <si>
    <t>６．クラウドの特徴2</t>
  </si>
  <si>
    <t>７．アベイラビリティゾーンとリージョン</t>
  </si>
  <si>
    <t>８．クラウドにおける責任共有モデル</t>
  </si>
  <si>
    <t>９．NTTデータはデータセンターが得意　【コラム】</t>
  </si>
  <si>
    <t>10．AWSとは？</t>
  </si>
  <si>
    <t>11．AWSの利用産業</t>
  </si>
  <si>
    <t>12．Web3層アーキテクチャ</t>
  </si>
  <si>
    <t>13．AWSの基本アーキテクチャ</t>
  </si>
  <si>
    <t>14．Amazon VPC（Virtual Private Cloud）</t>
  </si>
  <si>
    <t>15．Amazon EC2（Elastic Compute Cloud）</t>
  </si>
  <si>
    <t>16．Amazon RDS（Relational Database Service）</t>
  </si>
  <si>
    <t>17．マネージドサービスとは？</t>
  </si>
  <si>
    <t>18．ELB（Elastic Load Balancing）</t>
  </si>
  <si>
    <t>19．Amazon S3（Simple Storage Service）</t>
  </si>
  <si>
    <t>20．Amazon CloudWatch</t>
  </si>
  <si>
    <t>21．コンピューティングサービス</t>
  </si>
  <si>
    <t>22．コンテナとは？</t>
  </si>
  <si>
    <t>23．Amazon ECS (Elastic Container Service)</t>
  </si>
  <si>
    <t>24．AWS Lambda</t>
  </si>
  <si>
    <t>25．その他の周辺サービス</t>
  </si>
  <si>
    <t>26．AWS、Azure、Google Cloudの違い　【コラム】</t>
  </si>
  <si>
    <t>27．Infrastructure as Code (IaC) とは？</t>
  </si>
  <si>
    <t>28．IaCのメリット</t>
  </si>
  <si>
    <t>29．IaCを実現するためのAWSサービス</t>
  </si>
  <si>
    <t>30．AWS CDKのメリット</t>
  </si>
  <si>
    <t>31．AWS CDKの仕組み</t>
  </si>
  <si>
    <t>32．AWS CloudFormationとの違い</t>
  </si>
  <si>
    <t>33．クラウド移⾏時の7つの⽅式</t>
  </si>
  <si>
    <t>34．移行イメージ</t>
  </si>
  <si>
    <t>35．ReplatformとRefactorの比較</t>
  </si>
  <si>
    <t>ガバクラとは？</t>
  </si>
  <si>
    <t>36．ガバメントクラウドとは？</t>
  </si>
  <si>
    <t>37．ガバメントクラウド対象</t>
  </si>
  <si>
    <t>38．ガバナンスとセキュリティ</t>
  </si>
  <si>
    <t>39．ガバメントクラウドテンプレート</t>
  </si>
  <si>
    <t>40．マネージドサービスの活用</t>
  </si>
  <si>
    <t>41．リアーキテクチャとは？</t>
  </si>
  <si>
    <t>42．リアーキテクチャの重要性</t>
  </si>
  <si>
    <t>43．リアーキテクチャの実施プロセス</t>
  </si>
  <si>
    <t>44．リアーキテクチャの手法</t>
  </si>
  <si>
    <t>45．本講義のまとめ</t>
  </si>
  <si>
    <t>47．AWS 豆知識　【コラム】</t>
  </si>
  <si>
    <t>クラウドとは？</t>
    <phoneticPr fontId="3"/>
  </si>
  <si>
    <t>AWSとは？</t>
    <phoneticPr fontId="3"/>
  </si>
  <si>
    <t>CDKとは？</t>
    <phoneticPr fontId="3"/>
  </si>
  <si>
    <t>【AI Native研修-AWS講義】クラウド・AWS入門編_配布用.pptx</t>
    <phoneticPr fontId="3"/>
  </si>
  <si>
    <t>【AI Native研修-AWS講義】デモ用CDKコード.txt</t>
    <phoneticPr fontId="3"/>
  </si>
  <si>
    <t>ec-site_mock.html</t>
    <phoneticPr fontId="3"/>
  </si>
  <si>
    <t>46．AWS CDKの講師デモ</t>
    <phoneticPr fontId="3"/>
  </si>
  <si>
    <t>　IT業界は1970年代にメインフレーム&amp;端末が誕生してから、分散コンピュータまでハードウェアの時代、1990年代からWindowsが誕生してソフトウェアの時代、2000年代からインターネットの時代と遷移した。
　通信速度も飛躍的に上昇している。
　1994年：Amazonが誕生
　2006年：Amazon Web Service（AWS）が誕生してからクラウドの時代が到来し、SaaSが台頭した。
　2020年代：からChatGPTなどの生成AIの誕生により、さらに加速度的に成長している。</t>
    <phoneticPr fontId="3"/>
  </si>
  <si>
    <t>■俊敏性（アジリティ）
・オンプレミスの場合
　自社でデータセンターの確保から機器調達、設置、構築までを行う必要があるため、利用開始までに数か月単位の時間がかかる。
・クラウドの場合
　アカウント作成後にコンソール操作や設定を行うだけで、数分で環境を利用開始できるため、非常に高い俊敏性を持つ。
■弾力性（スケーラビリティ）
・オンプレミスの場合
　繁忙期に合わせてあらかじめ過剰なリソースを用意する必要があり、閑散期にはリソースが余ってしまうという非効率が発生する。
・クラウドの場合
　需要に応じてリソースをスケールアップ・スケールアウトできるため、必要な分だけ利用でき、リソースの無駄を抑えることができる。</t>
    <phoneticPr fontId="3"/>
  </si>
  <si>
    <t xml:space="preserve">・AI-01
</t>
    <phoneticPr fontId="3"/>
  </si>
  <si>
    <t>■幅広い機能
　クラウドには多種多様なサービス・機能が用意されており、顧客の業務要件に応じて必要なサービスを組み合わせて柔軟にシステムを構築できる。
■グローバル展開
　主要なパブリッククラウドサービスは、北米・南米・欧州・中東・アフリカ・アジア・オーストラリアなど、世界各地にリージョンを展開している。
　また、日本では東京・大阪リージョンを選択することでデータを国内に保持できるため、データ保護や法的要件への対応が可能となる。</t>
    <phoneticPr fontId="3"/>
  </si>
  <si>
    <t>■責任共有モデル
　責任共有モデルとは、クラウドにおける「セキュリティ」と「コンプライアンス」の責任を、クラウド事業者とユーザで分担する考え方である。
　※クラウド基盤は複数の層で構成されており、責任範囲はレイヤーごとに異なる。
・土台となる層（ハードウェア層〜基盤ソフトウェア層）　→　クラウド事業者の責任範囲
・その上の層（OS〜アプリケーション、データ層）　→　ユーザの責任範囲</t>
    <phoneticPr fontId="3"/>
  </si>
  <si>
    <t>　NTTデータは国内13拠点、海外91拠点にデータセンターを保有し、世界で約6％のシェアを持つデータセンター事業者として、グローバルで第3位に位置している。</t>
    <phoneticPr fontId="3"/>
  </si>
  <si>
    <t>■アベイラビリティゾーン（AZ）
　アベイラビリティゾーン（AZ）は、複数のデータセンターから構成される単位であり、冗長化された電力設備や低遅延ネットワークなどによって高い可用性が確保されている。
　※同一AZ内では、1つのデータセンターに障害が発生しても、他のデータセンターが稼働を継続することでサービス全体の継続性が保たれる。
■リージョン
　リージョンは、地理的に離れた複数のアベイラビリティゾーン（AZ）から構成される単位であり、大規模な災害や広域障害が発生した場合でも、他のAZを利用することでシステム全体の稼働を継続できるよう設計されている。
■階層関係
　リージョン ＞ アベイラビリティゾーン ＞ データセンター</t>
    <phoneticPr fontId="3"/>
  </si>
  <si>
    <t>　米国シアトルに本拠を置くAmazon.comは、世界最大級の総合オンラインストア（ECサイト）を運営するテクノロジー企業である。
　同社の事業を支える基盤として提供されているのがAmazon Web Services（AWS）である。AWSは、必要な時に必要な分だけITリソースを低コストで利用できる仕組みを一般ユーザにも提供することで成長した。
　このような形態は「パブリッククラウドサービス」と呼ばれ、AWSはその先駆者である。</t>
    <phoneticPr fontId="3"/>
  </si>
  <si>
    <t>　AWSは製造、金融、政府機関、ゲーム、小売、エネルギーなど、あらゆる産業分野で利用されており、現代の社会基盤を支える存在となっている。
　例えば2019年の新型コロナウイルスの流行時には、米国の製薬会社ModernaがAWSの機械学習技術を活用し、ワクチン開発の効率化を実現した。
　また日本においても、デジタル庁がAWSを活用し、ワクチン接種証明書のシステムを短期間で構築するなど、行政分野でもクラウドの活用が進んでいる。
　このようにAWSは、民間・公共の両分野において重要な役割を果たしている。</t>
    <phoneticPr fontId="3"/>
  </si>
  <si>
    <t xml:space="preserve">・AI-01
</t>
    <phoneticPr fontId="3"/>
  </si>
  <si>
    <t xml:space="preserve">・AI-01
</t>
    <phoneticPr fontId="3"/>
  </si>
  <si>
    <t xml:space="preserve">・AI-01
</t>
    <phoneticPr fontId="3"/>
  </si>
  <si>
    <t xml:space="preserve">・AI-01
</t>
    <phoneticPr fontId="3"/>
  </si>
  <si>
    <t xml:space="preserve">・AI-01
</t>
    <phoneticPr fontId="3"/>
  </si>
  <si>
    <t>Amazon S3は、クラウド上で提供されるオブジェクトストレージサービスである。
※オンプレミスにおける「ネットワークストレージ」に相当する。
■可用性・耐久性
　データは自動的に複数のアベイラビリティゾーン（通常3箇所以上）に分散して保存され、高い耐障害性が確保されている。
　データ耐久性は「99.999999999%（イレブンナイン）」とされ、非常に高い信頼性を持つ。
■容量・性能
　・容量は実質無制限
　・1ファイルの最大サイズは50TB
　・データ量に依存せずスケーラブルで安定した性能を提供
■コスト
　従量課金制であり、低コストで利用可能（例：1GBあたり約数円/月程度）。
■連携性
　他のAWSサービス（EC2、Lambda、CloudFrontなど）と柔軟に連携でき、幅広い用途で利用される。</t>
    <phoneticPr fontId="3"/>
  </si>
  <si>
    <t>AWS上にWeb3層構造のシステムを構築する場合、基本的なアーキテクチャとして以下のサービスが利用される。
■ネットワーク層
　・Amazon VPC（Virtual Private Cloud）：AWS上に構築する仮想ネットワーク環境
■アプリケーション層
　・Amazon EC2（Elastic Compute Cloud）：アプリケーションを実行する仮想サーバー
　・ELB（Elastic Load Balancing）：複数のEC2にトラフィックを分散するロードバランサー
■データ層
　・Amazon RDS（Relational Database Service）：リレーショナルデータベースサービス
　・Amazon S3（Simple Storage Service）：オブジェクトストレージ（ファイル保存など）
■運用・監視
　・Amazon CloudWatch：システムの監視、ログ収集、アラーム設定などを行うサービス</t>
    <phoneticPr fontId="3"/>
  </si>
  <si>
    <t>Amazon CloudWatchは、AWS上に構築されたEC2やRDSなどのリソース、およびアプリケーションを監視・管理するための統合モニタリングサービスである。
システムの稼働状況を可視化し、障害検知から復旧対応までを支援することができる。
■主な機能
・メトリクス監視
　CPU使用率、ネットワーク通信量などのAWSリソースの稼働状況を数値データとして収集・監視する。
・ログ収集・分析
　アプリケーションログやアクセスログなどを集約し、保存・検索・分析を行うことができる。
・アラームと自動化
　しきい値を設定し、異常発生時にメール通知を行ったり、Auto Scalingや再起動などのアクションを自動実行できる。
・ダッシュボード
　監視データやグラフを1画面に集約し、システム全体の稼働状況を視覚的に把握できる。</t>
    <phoneticPr fontId="3"/>
  </si>
  <si>
    <t xml:space="preserve">・AI-01
</t>
    <phoneticPr fontId="3"/>
  </si>
  <si>
    <t xml:space="preserve">・AI-01
</t>
    <phoneticPr fontId="3"/>
  </si>
  <si>
    <t>■AWSのコンピューティングサービス
AWSには、アプリケーションを実行するためのコンピューティングサービスとして以下が存在する。
　・Amazon EC2（仮想サーバー）
　・Amazon ECS／Amazon EKS（コンテナ実行環境）
　・AWS Lambda（サーバーレス実行環境）
これらは総称して「コンピューティングサービス」と呼ばれる。
■責任範囲とマネージドレベルの違い
　これらのサービスは、抽象化レベルが上がるほどAWS側の責任範囲が広がる。
　・EC2：OSやミドルウェア管理などユーザ責任が多い
　・コンテナ（ECS/EKS）：実行環境の一部をAWSが管理
　・サーバーレス（Lambda）：インフラ管理をほぼAWSが担う
■メリット（進化の方向性）
　仮想サーバー → コンテナ → サーバーレスへと進むほど、以下の利点がある。
　・インフラ管理の負担軽減
　・運用工数の削減
　・アプリケーション開発・リリースの高速化</t>
    <phoneticPr fontId="3"/>
  </si>
  <si>
    <t>■コンテナとは
　コンテナとは、アプリケーションとその実行に必要なライブラリや設定ファイルなどの環境をひとまとめにパッケージ化し、どの環境でも同じように動作させるための仕組みである。
　名前の由来は、貨物輸送で使われる「コンテナ」にあり、どの輸送手段でも中身を変えずに運べるという考え方に似ている。
■仕組み
　コンテナは、サーバー上のOSを共有しながら、その上にアプリケーションごとに独立した実行環境（小さな隔離領域）を作成する。
　これにより、他のアプリケーションの影響を受けずに、安全かつ軽量に動作させることができる。
■コンテナエンジン
　コンテナを作成・実行・管理するためのソフトウェアを「コンテナエンジン」と呼ぶ。
　コンテナエンジンが、イメージの実行やコンテナの起動・停止などを制御する。
■特徴・メリット
コンテナは仮想サーバー（VM）の進化形とも言われ、以下のメリットがある。
　・環境差異の排除（どこでも同じように動く）
　・起動が高速
　・リソース効率が高い
　・移植性が高い</t>
    <phoneticPr fontId="3"/>
  </si>
  <si>
    <t xml:space="preserve">・AI-01
</t>
    <phoneticPr fontId="3"/>
  </si>
  <si>
    <t>■コンテナサービスの構成
　コンテナサービスは、大きく「コントロールプレーン」と「データプレーン」の2つの役割で構成される。
■コントロールプレーン（管理層）
　コンテナの作成・配置・スケジューリング・監視などを管理する層。
　AWSでは以下が該当する。
　　・Amazon ECS（Elastic Container Service）
　　　AWS独自のコンテナ管理サービスで、構成がシンプルで運用負荷が低い。
　　　AWSに管理を任せたい場合に適している。
　　・Amazon EKS（Elastic Kubernetes Service）
　　　業界標準のコンテナオーケストレーションツールであるKubernetesを利用するサービス。
　　　高い拡張性と柔軟性を持ち、大規模・複雑なシステムに適している。
■データプレーン（実行層）
　実際にコンテナを実行する環境。
　AWSでは以下が該当する。
　　・Amazon EC2
　　　仮想サーバー上でコンテナを実行する方式。
　　　サーバーのOSやインスタンス設定などをユーザが管理できるため、柔軟性が高く、細かなチューニングやコスト最適化を行いたい場合に適している。
　　・AWS Fargate
　　　サーバー管理が不要なサーバーレス型の実行環境。
　　　インフラの管理をAWS側に任せることができるため、運用負荷を削減し、アプリケーション開発に集中したい場合に適している。</t>
    <phoneticPr fontId="3"/>
  </si>
  <si>
    <t xml:space="preserve">・AI-01
</t>
    <phoneticPr fontId="3"/>
  </si>
  <si>
    <t>　AWS Lambdaは、仮想サーバーやコンテナに続く「サーバーレス」アーキテクチャを実現する代表的なサービスである。
コードをイベント駆動で実行する仕組みを提供しており、実行時のみリソースが割り当てられるため、従量課金で利用できる。
　Webアプリケーションとして利用する場合は、Amazon API Gatewayと組み合わせ、HTTPリクエストをトリガーとしてLambdaを実行する構成が一般的である。
■サーバーレス
　サーバーレスとは、サーバーの構築・運用・保守・スケーリングをクラウド側が自動的に行う開発・運用モデルである。
　ユーザはサーバー管理を意識せず、アプリケーションの開発（コード作成）に専念できる。</t>
    <phoneticPr fontId="3"/>
  </si>
  <si>
    <t xml:space="preserve">・AI-01
</t>
    <phoneticPr fontId="3"/>
  </si>
  <si>
    <t>　IaC（Infrastructure as Code）とは、クラウドが提供するツールを用いて、サーバーやネットワークなどのインフラ構成をコードとして記述し、環境構築や管理を自動化する仕組みである。
　これにより、手作業ではなくコードベースでインフラを再現可能にし、環境構築の効率化や品質向上を実現する。
■マネジメントコンソール・CLIとの比較
　従来のマネジメントコンソールによる手動操作や、CLI・SDKを用いた手続き型スクリプトには、以下のような課題がある。
〇主な課題
　・現在の構成状態が把握しづらく、リリース判断が難しい
　・人による解釈の違いや操作ミスが発生しやすい
　・同じ構成を何度も再現するのが困難
　・手順書やスクリプトの作成に時間がかかる
　・継続的な更新やテストが難しく、内容が陳腐化しやすい
　・リソース状態依存の判断やエラー処理、ロールバックを網羅しづらい</t>
    <phoneticPr fontId="3"/>
  </si>
  <si>
    <t>■コスト削減
　・手順書の作成・メンテナンス・引き継ぎにかかるコストを削減できる
　・手順書と実環境の乖離によるブラックボックス化を防止できる
　・デプロイ作業時間を削減できる
　・必要なときにリソースを作成し、不要時にまとめて破棄できるため、運用コストを最適化できる
■スピードアップ
　・CI/CDと組み合わせることで、自動テスト・自動デプロイが可能になる
　・変更内容を予測可能にし、頻繁なデプロイを実現できる
　・同じ構成を何度でも迅速にデプロイできる
　・構成パターンやベストプラクティスをチーム内で共有しやすい
■リスク低減
　・人的ミス（手作業ミス）を排除できる
　・バージョン管理により変更履歴の追跡と承認プロセスを実現できる
　・Gitリポジトリを「信頼できる唯一の情報源（Single Source of Truth）」として扱える
　・必要に応じて過去バージョンへロールバックできる</t>
    <phoneticPr fontId="3"/>
  </si>
  <si>
    <t>■AWS CloudFormation
　AWS CloudFormationは、テキスト形式（JSON / YAML）で宣言的に記述されたテンプレートからAWSリソースを作成するIaCサービスである。
　インフラ構成をコードとして定義することで、環境の再現性や自動化を実現できる。
■AWS CDK（Cloud Development Kit）
　AWS CDKは、AWSのインフラ環境をJavaやTypeScriptなどの一般的なプログラミング言語で記述できるツールキットである。
　内部的にはAWS CloudFormationを利用しており、最終的にはCloudFormationテンプレートに変換されてリソースが作成される。
■AWS CDK誕生の背景
　Amazon.comの検索システムを再構築し、トレンド商品をリアルタイムに特定するという大規模な要件の中で、従来のCloudFormationには以下の課題があった。
　・複数チームが独立して開発・デプロイできるようにモジュール化したい
　・繰り返し複雑な構成を作成する負担を減らすために抽象化したい
　・JSONやYAMLのような設定言語ではなく、開発者が慣れた言語で表現したい
これらの課題を解決するために、オブジェクト指向のライブラリとしてAWS CDKが開発された。</t>
    <phoneticPr fontId="3"/>
  </si>
  <si>
    <t>■開発者体験の改善
　・アプリケーションと同じプログラミング言語で記述できるため、ドメイン固有言語（特定用途のためだけに作られた言語）の習得が不要
　・ソフトウェア開発の標準的な技法・プラクティス・ツールをそのまま活用できる
　・型付けやバリデーションにより、早い段階でエラーを検知できる
　・リソース間の依存関係やスタックの関係を自動的に解決できる
■アプリケーション全体をコードで管理
　・インフラだけでなく、Lambda関数のコードやコンテナイメージなどもまとめて管理できる
　・CI/CDパイプラインをコードとして定義し、自動構築できる
　・複数のAWSアカウントや環境（開発・検証・本番）を一元的に管理できる
■高レベルな抽象化
　・複雑なAWS設定を抽象化し、コード量と学習コストを削減できる
　・必要に応じて抽象化を外し、個別リソースの詳細設定にもアクセス可能
　・ベストプラクティスに基づくデフォルト設定が提供される
　・チーム内で構成パターンやガードレール（安全な範囲から外れないようにあらかじめ設定されたルールや制約）を共有・再利用できる</t>
    <phoneticPr fontId="3"/>
  </si>
  <si>
    <t>　AWS CDKは、プログラミング言語を用いてインフラ構成を定義できるIaCツールである。
　AWS CDK Toolkitにより、定義されたコードからCloudFormationテンプレートが合成（synthesize）され、そのテンプレートをもとにクラウド環境へ自動的に反映される。
　また、作成されたインフラは「スタック」として管理され、定義したテンプレートと実際の状態を対応付けることで、同じ構成を繰り返し再現することが可能となる。
■AWS CDKの利用手順
　まず開発者は、TypeScript・JavaScript・Python・Java・C#・Goなどのプログラミング言語を使って、インフラ構成をコードとして定義する。これらの言語では各種コンストラクタライブラリを利用して、AWSリソース（Lambda、S3など）を記述できる。
　次に、cdk deploy コマンドを実行すると、AWS CDK Toolkit（CLI）が起動する。CDK ToolkitはNode.js上で動作し、アプリケーションコードを解析してCloudFormationテンプレートへ変換（synthesize）する。
　生成されたCloudFormationテンプレートはAWS CloudFormationに渡され、CloudFormationがその内容をもとにスタックとして管理する。ここでは「既に存在するか」「差分があるか」を判断しながら、必要なリソース操作（作成・更新・削除）を自動的に実行する。
　CloudFormationは内部的にAWS APIを呼び出し、実際のクラウドリソース（Lambda関数、S3バケット、コンテナ、その他のAWSサービス）を構築することで、最終的に定義された状態へと収束させる。
　また、Lambdaのコードやコンテナイメージなどのアセット（コードやファイルなどの成果物）もまとめてバンドルされ、CloudFormation経由でデプロイされる点も特徴である。</t>
    <rPh sb="231" eb="233">
      <t>リヨウ</t>
    </rPh>
    <rPh sb="233" eb="235">
      <t>テジュン</t>
    </rPh>
    <phoneticPr fontId="3"/>
  </si>
  <si>
    <t>■AWS CloudFormationの場合
　スタック間の依存関係を考慮しながらデプロイ順序を設計する必要がある。そのため、AWSリソースの構造をそのままテンプレートとして把握しやすい一方で、スタック数が増えると依存関係の管理が複雑になりやすい。
■AWS CDKの場合
　プログラミング言語を用いてインフラを定義するため、依存関係はCDKが自動的に解釈して解決する。その結果、複数のスタックをまとめて一括でデプロイでき、開発者は依存順序を意識せずにインフラ構成を記述できる。</t>
    <rPh sb="20" eb="22">
      <t>バアイ</t>
    </rPh>
    <rPh sb="135" eb="137">
      <t>バアイ</t>
    </rPh>
    <phoneticPr fontId="3"/>
  </si>
  <si>
    <t>　オンプレミスのシステムをパブリッククラウドへ移行する際、既存の仕組みをできるだけそのままクラウドへ移行する方法を「リフト＆シフト」と呼ぶ。一方で、既存の仕組みを見直し、クラウド環境に最適化した形でシステムを構築・移行する方法を「クラウドネイティブ移行」と呼ぶ。
　リフト＆シフトに分類される移行方式として、「Rehost（リホスト）」と「Relocate（リロケート）」がある。Rehostは、アプリケーションやOSを大きく変更することなく、そのままクラウドへ移行する方式である。Relocateは、VMwareなどの仮想化基盤を利用しているシステムを、仮想マシンごとクラウドへ移行する方式である。
　クラウドネイティブ移行に分類される移行方式として、「Replatform（リプラットフォーム）」と「Refactor（リファクタ）」がある。Replatformは、アプリケーションの構造は大きく変更せず、OSやデータベースなどのミドルウェアをクラウド向けに変更・アップグレードして移行する方式である。Refactorは、クラウドの特性を最大限活用するために、アプリケーションそのものを設計・実装レベルから見直して作り直す方式である。</t>
    <phoneticPr fontId="3"/>
  </si>
  <si>
    <t xml:space="preserve">■Rehost（リホスト）／Relocate（リロケート）：単純移行
　OSやアプリケーション、データベースに大きな変更を加えず、既存システムをそのままクラウド環境へ移行する方式。
■Replatform（リプラットフォーム）：プラットフォームの更新
　アプリケーションは大きく変更せず、OSやデータベースを変更・アップグレードしながら、クラウド上の仮想サーバーやマネージドサービスへ移行する方式。
■Refactor（リファクタ）：アプリケーションの再設計・書き換え
　クラウドの特性を最大限活用するため、アプリケーションをマイクロサービス化するなど設計から見直し、クラウドネイティブなサービスを活用した構成へ移行する方式。
</t>
    <phoneticPr fontId="3"/>
  </si>
  <si>
    <t>■Replatform（リプラットフォーム）
　クラウドのマネージドサービスを活用することで、ユーザー側の運用負荷を軽減できる移行方式である。
　ただし、EC2などの仮想サーバーを利用する場合は、OSやミドルウェアのパッチ適用や設定変更など、一部の運用・管理は引き続き利用者が実施する必要がある。
■Refactor（リファクタ）
　クラウドネイティブなサービスを活用することを前提に、アプリケーションやアーキテクチャを再設計する移行方式である。　
　サーバーレスサービスやフルマネージドサービスを活用することで、OSやミドルウェアの管理を不要にし、利用者はビジネス価値の創出に直結する開発業務へ注力できる。
　また、運用負荷の削減やコスト最適化など、クラウドのメリットを最大限に享受できる。</t>
    <phoneticPr fontId="3"/>
  </si>
  <si>
    <t>ガバメントクラウドは、デジタル庁が整備した政府共通のクラウド利用基盤である。
中央政府や地方公共団体などが共通のクラウド環境を利用することで、システムの迅速な構築、柔軟な拡張、高いセキュリティの確保、そしてコスト削減を実現することを目的としている。</t>
    <phoneticPr fontId="3"/>
  </si>
  <si>
    <t xml:space="preserve">　「政府情報システムにおけるクラウドサービスの適切な利用に係る基本方針」では、極秘情報や高度な機密情報を取り扱う一部の政府情報システムを除き、政府情報システムは原則としてガバメントクラウドを利用する方針となっている。
　現在、ガバメントクラウドとして採択されているパブリッククラウドサービスは5つあり、各府省庁や地方公共団体はこれらのクラウドサービスを利用してシステムを構築する。
　・Amazon Web Services（AWS）
　・Microsoft（Microsoft Azure）
　・Oracle（Oracle Cloud Infrastructure：OCI）
　・Google（Google Cloud）
　・さくらインターネット（さくらのクラウド）
　デジタル庁は、ガバメントクラウド全体の運営主体として、クラウド利用に関するガバナンスやセキュリティ基準を策定・統制し、安全かつ効率的なシステム運用を支援している。
</t>
    <phoneticPr fontId="3"/>
  </si>
  <si>
    <t>■ガバナンス実現サービス
　ガバメントクラウドでは、ガバメントクラウドテンプレートを利用することで、ガバナンスやセキュリティに関する設定をAWS環境へ自動的に適用できる。これにより、各利用者は共通のセキュリティ基準に従った環境を容易に構築できる。
■予防的統制（Preventive Control） 
　利用者がセキュリティポリシーに反する設定を行えないよう制御する。
　データの国内保管を実現するため、利用可能なリージョンを東京リージョンおよび大阪リージョンに制限する。
　デジタル庁が統制困難と判断した一部サービスの利用を禁止する。
　　・AWS CloudShell
　　・AWS Outposts
　　・AWS Marketplace（利用時は個別相談）
　AWSアカウントへのサインイン時に多要素認証（MFA）を必須とする。
　自治体業務システムを稼働させるAWSアカウントでは、インターネットゲートウェイ（IGW）のアタッチを禁止し、直接インターネットへ接続できないよう制御する。
■発見的統制（Detective Control）
　セキュリティ上のリスクがある設定や運用状況を継続的に監視し、セキュリティポリシーに違反する設定を自動的に検出する。
　検出した内容はSlackやメールを通じて利用者へ通知し、迅速な是正対応を促す。
　このように、ガバメントクラウドでは「予防的統制」によって問題のある設定を未然に防ぎ、「発見的統制」によって設定ミスや運用上の問題を早期に発見することで、安全なクラウド利用を実現している。</t>
    <phoneticPr fontId="3"/>
  </si>
  <si>
    <t>■ガバメントクラウドのテンプレート
・自動適用テンプレート（ガバナンスベース）
　デジタル庁がAWSアカウントを払い出す際に自動的に適用するテンプレートである。ガバナンスやセキュリティの基本統制を実現するための設定が含まれている。
・必須適用テンプレート（ガバナンスベース）
　ガバメントクラウドを利用する組織が、払い出されたAWSアカウントに対して必ず適用するテンプレートである。組織のシステムがガバメントクラウドのセキュリティ要件や運用ルールに準拠するために利用される。
・サンプルテンプレート
　システム構築時に参考として利用できるテンプレートである。利用者は業務要件に応じてカスタマイズしながら適用し、効率的にインフラ環境を構築できる。
環境払い出し時 → 自動適用テンプレート
初回環境構築時 → 必須適用テンプレート
個別システム構築時 → サンプルテンプレート</t>
    <phoneticPr fontId="3"/>
  </si>
  <si>
    <t>　ガバメントクラウドでは、ELB、ECS、RDS、S3、CloudWatchなどのマネージドサービスを中心としたアーキテクチャを推奨している。例えば、利用者からのアクセスをELBで負荷分散し、ECS上で稼働するWeb APIコンテナが処理を行い、データはRDSやS3に保存する。また、CloudWatchによる監視やアラート通知を活用することで、システムの運用負荷を軽減できる。
　さらに、GitHubとCI/CDパイプラインを活用した自動デプロイを実現することで、インフラ構成やアプリケーションの変更を効率的に管理できる。これにより、利用者はサーバーやミドルウェアの管理に費やす時間を削減し、システム開発や運用の効率化を図ることができる。
　また、LambdaやAPI Gatewayなどのフルマネージドサービスを活用することで、サーバー管理を不要としたクラウドネイティブなシステムを構築できる。その結果、アプリケーションの開発からリリースまでの時間を短縮し、利用者はインフラ運用ではなく、住民サービスの向上や業務改善などのビジネス価値創出に注力できる。</t>
    <phoneticPr fontId="3"/>
  </si>
  <si>
    <t>　ガバメントクラウドへのシステム移行では、移行パターンとして主にR1（Replatform） と R2（Rebuild） の2つが定義されている。これらは一般的なクラウド移行における Replatform および Refactor（Re-architect） に相当する。
　R1（Replatform） は、既存システムの構成を大きく変更せず、OSやデータベースの更新、マネージドサービスの活用などを行いながらクラウドへ移行する方式である。ガバメントクラウドでは、R1はあくまで第一段階の移行と位置付けられており、将来的にR2へ移行することを前提としている。
　R2（Rebuild） は、クラウドネイティブなアーキテクチャを前提としてシステムを再構築する方式である。
　マイクロサービスアーキテクチャやフロントエンド・バックエンド分離を基本形とし、ECS、RDS、S3などのマネージドサービスや、Lambda、API Gatewayなどのフルマネージドサービスを活用することで、運用負荷の軽減と開発効率の向上を実現する。
　そのため、R2への移行では既存システムの構成や機能を正確に把握したうえで、クラウドネイティブな設計へ見直すリアーキテクチャ（再設計）の考え方と手法を理解し、適用することが重要となる。
　ガバメントクラウドでは、まずR1でクラウドへ移行し、その後R2によってクラウドネイティブなアーキテクチャへ段階的に進化させることを目指している。</t>
    <phoneticPr fontId="3"/>
  </si>
  <si>
    <t xml:space="preserve">　従来のクラウド移行では、オンプレミス環境の構成を大きく変更せずにクラウドへ移行する R1（Replatform） が主流であった。しかし近年は、運用コストの削減や開発スピードの向上、さらには継続的なサービス改善への要求が高まっており、システムのモダン化とコスト最適化を実現するために、R2（Rebuild）によるリアーキテクチャ の重要性が増している。
　システムをクラウドネイティブなアーキテクチャへ再設計することで、クラウドが持つ 可用性、弾力性（スケーラビリティ）、自動化 といった特性を最大限に活用できる。また、マネージドサービスやフルマネージドサービスを活用することで、インフラの構築・運用にかかるコストや工数を削減しながら、セキュリティ品質の向上、開発サイクルの高速化、継続的な機能改善を実現できる。
　一方で、単にオンプレミス環境をクラウドへ移行するだけでは、運用方法やシステム構成が従来のままとなり、クラウドのメリットを十分に活用できない。そのため、クラウド移行の効果を最大化するためには、リアーキテクチャによるクラウドネイティブ化が重要となる。
クラウド移行のゴールはサーバーの移設ではなく、リアーキテクチャによってクラウドネイティブなシステムへ進化させることである。
</t>
    <phoneticPr fontId="3"/>
  </si>
  <si>
    <t>　AWSでは、アプリケーションのモダナイゼーションを 「評価（Assess）」「モダナイズ（Modernize）」「管理（Manage）」 の3つのフェーズで整理している。
■評価（Assess）フェーズで
　Application Rationalization Assessment により既存システムやアプリケーション資産の棚卸しを行い、システム構成や技術的負債、移行上の制約を整理する。また、Modernization Roadmap を作成し、移行対象や優先順位、移行方式を明確にしたうえで、段階的なモダナイゼーション計画を策定する。
■モダナイズ（Modernize）フェーズ
　Application Modernization Projects を実施し、アプリケーションのリファクタリングやリアーキテクチャを進める。マイクロサービス化やフロントエンド・バックエンド分離、コンテナ化、マネージドサービスやフルマネージドサービスの活用などを通じて、クラウドネイティブなアーキテクチャへ移行し、品質と生産性の向上を実現する。
■管理（Manage）フェーズ
　ITガバナンスの統制のもとでシステムを運用し、継続的な改善や最適化を行う。
「何を移行するかを評価（Assess）し、どのようにクラウドネイティブ化するかを計画し（Roadmap）、実際に再構築する（Modernize）」という流れが、リアーキテクチャ成功の鍵となる。</t>
    <phoneticPr fontId="3"/>
  </si>
  <si>
    <r>
      <t xml:space="preserve">ファイルの内容をCloudShell上で実施する。
</t>
    </r>
    <r>
      <rPr>
        <sz val="9"/>
        <color rgb="FFFF0000"/>
        <rFont val="Meiryo UI"/>
        <family val="3"/>
        <charset val="128"/>
      </rPr>
      <t>※CDKを利用するので時間がかかる。</t>
    </r>
    <rPh sb="5" eb="7">
      <t>ナイヨウ</t>
    </rPh>
    <rPh sb="18" eb="19">
      <t>ジョウ</t>
    </rPh>
    <rPh sb="20" eb="22">
      <t>ジッシ</t>
    </rPh>
    <rPh sb="31" eb="33">
      <t>リヨウ</t>
    </rPh>
    <rPh sb="37" eb="39">
      <t>ジカン</t>
    </rPh>
    <phoneticPr fontId="3"/>
  </si>
  <si>
    <t>・AI-01
・AI-02
・AI-03</t>
    <phoneticPr fontId="3"/>
  </si>
  <si>
    <t>★アプリケーションのリファクタリング
■モノリスの分解
 信頼性やパフォーマンスに課題があり、複数の機能が密結合したモノリシックアプリケーションを特定する。
 その後、業務ドメインや機能単位でアプリケーションを分割し、複数の独立したマイクロサービスへ変換する。
 これにより、サービスごとの独立した開発・デプロイ・スケーリングが可能となり、保守性や拡張性を向上できる。
■マイクロサービスの統合
 分割したマイクロサービス同士を適切に連携させることも重要である。
 連携方法が不適切な場合、データ損失やレイテンシの増加、データ整合性の問題が発生する可能性がある。
 そのため、API Gatewayパターンやメッセージングパターン、Pub/Subパターンなどを利用してサービス間を統合し、複数のマイクロサービスが一つのシステムとして連携して動作できるようにする。
★クラウド基盤のモダン化
■サーバレスサービスの活用
　自律性とスケーラビリティを備えたFaaS（Function as a Service）などのサーバレスサービスを活用することで、マイクロサービスの実行基盤を効率的に構築できる。
　サーバーの運用管理が不要となるため、開発者はアプリケーション開発に集中でき、需要に応じた自動スケーリングも実現できる。
■IaCによる基盤サービスの構築
　IaC（Infrastructure as Code）を活用し、インフラリソースをコードとして管理することで、環境構築の再現性を確保するとともに、自動化を実現する。
　さらに、CI/CDパイプラインに組み込むことで、アプリケーションの変更に合わせたインフラ変更を迅速に反映でき、リードタイムの短縮や運用効率の向上につながる。例えば、AWSではCloudFormationやAWS CDKを利用してIaCを実現できる。</t>
    <phoneticPr fontId="3"/>
  </si>
  <si>
    <t>これまでの内容に合わせて説明する。</t>
    <rPh sb="5" eb="7">
      <t>ナイヨウ</t>
    </rPh>
    <rPh sb="8" eb="9">
      <t>ア</t>
    </rPh>
    <rPh sb="12" eb="14">
      <t>セツメイ</t>
    </rPh>
    <phoneticPr fontId="3"/>
  </si>
  <si>
    <t>△</t>
    <phoneticPr fontId="3"/>
  </si>
  <si>
    <t>※時間が不足した場合は割愛してください。</t>
    <rPh sb="1" eb="3">
      <t>ジカン</t>
    </rPh>
    <rPh sb="4" eb="6">
      <t>フソク</t>
    </rPh>
    <rPh sb="8" eb="10">
      <t>バアイ</t>
    </rPh>
    <rPh sb="11" eb="13">
      <t>カツアイ</t>
    </rPh>
    <phoneticPr fontId="3"/>
  </si>
  <si>
    <t>AI Native-AWS</t>
    <phoneticPr fontId="3"/>
  </si>
  <si>
    <t>　生成AIの活用が進む中、クラウドサービスへの支出額は世界的に増加傾向にある。
　特に、Amazon、Microsoft、Googleの3社で市場シェアの約7割を占めており、その中でもAmazonは市場シェア・案件数の両面でリーダー的な位置付けとなっている。
　また日本においても、これら3社に加えてOracleやさくらインターネットがガバメントクラウドに採用されたことで、官公庁や自治体システムのクラウド移行が加速している。
　これにより、クラウドサービスの重要性は今後さらに高まると考えられる。</t>
    <phoneticPr fontId="3"/>
  </si>
  <si>
    <t>■オンプレミス
　サーバーやネットワーク機器、データベースなどのITリソースを自社内のデータセンター等に設置し、構築から運用・保守までを自社で管理する形態。
　システム構成やセキュリティ対策を自社の方針に合わせて自由に設計でき、アクセス制御やログ管理なども細かく調整できる。
■クラウド
　外部のクラウドサービス事業者が提供するITリソースを、ネットワーク経由で利用する形態。
　自社でハードウェアを保有する必要がなく、必要な時に必要な分だけ利用できるため、初期費用を抑えつつ短期間で導入できる。</t>
    <phoneticPr fontId="3"/>
  </si>
  <si>
    <t>■オンプレミスの場合
　サーバーを1台設置するだけでも、その周辺に多数のハードウェア機器や設備が必要となるため、初期コストおよび運用コストが非常に高くなる。
■クラウドの場合
　機器や設備を自社で用意する必要がないため、初期投資を大幅に抑えることができ、結果としてコスト削減につながる。</t>
    <phoneticPr fontId="3"/>
  </si>
  <si>
    <t>　Amazon EC2は、クラウド上で提供される仮想サーバーサービスであり、オンプレミスにおける「物理サーバー」に相当する。
　仮想サーバーとは、1台の物理サーバーを論理的に分割し、複数のサーバーとして独立して利用できる仕組みである。
　EC2は数分で起動でき、利用した分だけ課金される従量課金モデル（秒単位課金など）で提供される。
　また、WindowsやLinuxなど複数のOSに対応しており、必要なソフトウェアを自由にインストールして利用できる。
　さらに、利用状況に応じて以下のような柔軟な変更が可能である。
　・スケールアップ／ダウン（性能の変更）
　・スケールアウト／イン（台数の増減）
　・オートスケーリング（自動調整）</t>
    <phoneticPr fontId="3"/>
  </si>
  <si>
    <t>　Amazon RDSは、クラウド上で提供されるマネージド型のリレーショナルデータベースサービスであり、オンプレミスにおける「リレーショナルデータベースサーバー」に相当する。
　MySQL、Oracle、SQL Server、PostgreSQL、MariaDB、Auroraなどの主要なデータベースエンジンから選択して利用できる。
■可用性・耐障害性
　待機系（スタンバイ）を複数のアベイラビリティゾーン（AZ）に分散配置することで、障害発生時でも自動的にフェイルオーバーし、高い可用性を実現できる。
■運用・保守の効率化
　以下の機能により、運用負荷とコストを削減できる。
　　・自動バックアップ
　　・パッチ適用の自動化
　　・監視・メンテナンスの簡素化</t>
    <phoneticPr fontId="3"/>
  </si>
  <si>
    <t>■オンプレミスの場合
　データベースの構築・運用・保守はすべてユーザ側の責任となる。
　一方AWSでは、利用形態によって責任範囲が異なる。
■EC2上にデータベースを構築する場合（IaaS）
　EC2（仮想サーバー）上にデータベースを構築する場合、インフラ部分はAWSが責任を持つ一方で、OS・ミドルウェア・　データベースの運用はユーザ側の責任となる。
　そのため、責任はAWSとユーザで分担される形となる。
■Amazon RDSを利用する場合（マネージドサービス）
　Amazon RDSを利用することで、データベースの運用管理の多くがAWS側に移譲される。
　これによりユーザ側の責任範囲は主に「アプリケーション層」と「データ管理」に限定される。
　このように、マネージドサービスを利用することでユーザの運用負担を大幅に削減できる。これがクラウドにおけるマネージドサービスの大きな特徴であり、システム構築において推奨される理由である。</t>
    <phoneticPr fontId="3"/>
  </si>
  <si>
    <t>　Elastic Load Balancing（ELB）は、複数のEC2インスタンスなどに対してアクセスを分散し、システム全体の負荷を最適化するサービスである。
※オンプレミスにおける「ロードバランサー（負荷分散装置）」に相当する。
■種類
　用途に応じて以下の3種類から選択できる。
　・ALB（Application Load Balancer）：HTTP/HTTPSなどアプリケーション層向け
　・NLB（Network Load Balancer）：TCP/UDPなど高性能・低遅延向け
　・GWLB（Gateway Load Balancer）：ネットワークアプライアンス連携向け
■可用性・スケーラビリティ
　ELBは複数のアベイラビリティゾーン（AZ）にまたがって配置できるため、高い耐障害性を持つ。
　また、アクセス量に応じて自動的にキャパシティが増減し、負荷状況に応じたスケーリングが可能である。</t>
    <phoneticPr fontId="3"/>
  </si>
  <si>
    <t>　Amazon VPCは、ユーザーごとに論理的に分離された仮想ネットワーク環境である。
　オンプレミス環境における「DMZ（非武装地帯）」や「イントラネット（社内ネットワーク）」に相当する概念として扱われる。
　VPCはリージョン単位で作成され、その中に複数のアベイラビリティゾーン（AZ）を配置することができる。さらに各AZ内で、パブリックサブネットやプライベートサブネットに分割してネットワークを設計することが可能である。
■階層構造の関係
　リージョン ＞ VPC ＞ アベイラビリティゾーン（AZ） ＞ サブネット ＞ リソース（EC2など）</t>
    <phoneticPr fontId="3"/>
  </si>
  <si>
    <t>■Web3層構造（Web3層アーキテクチャ）
　Web3層構造とは、Webアプリケーションを以下の3つの層に分割して設計・構築するシステム構造のことである。
　　・プレゼンテーション層（画面・UI）
　　・アプリケーション層（業務ロジック）
　　・データ層（データベース）
■3層分離
　3層分離とは、Webアプリケーションを設計する際に、上記3つの層を分離して管理する設計手法を指す。
■メリット
　3層を分離することで、各層が独立して機能できるため、他の層に影響を与えずに変更やスケールが可能となる。
　その結果、以下のような利点がある。
　　・柔軟性の向上
　　・セキュリティの向上
　　・保守・管理の容易化</t>
    <phoneticPr fontId="3"/>
  </si>
  <si>
    <t>■主要パブリッククラウド3社の特徴まとめ
　現在の主要パブリッククラウドサービスであるAmazon Web Services（AWS）、Microsoft Azure、Google Cloudは、それぞれ強みの分野が異なる。
■Amazon Web Services（AWS）
　AWSはサービス数が非常に多く、機能の豊富さとグローバル展開に強みを持つ。
　また、セキュリティと信頼性が高く、あらゆる業種・規模のシステムに対応できる総合型クラウドである。
　コスト最適化の選択肢も豊富で、最も汎用性の高いクラウドといえる。
■Microsoft Azure
　AzureはMicrosoft製品（Windows Server、Active Directory、Microsoft 365など）との親和性が高い点が最大の特徴である。
　オンプレミス環境との連携（ハイブリッドクラウド）にも強く、企業システムとの統合に適している。
　また、AI・データ分析分野にも強みを持つ。
■Google Cloud
　Google Cloudはデータ分析とAI・機械学習領域に強みを持つクラウドである。
　BigQueryやVertex AIなどの先進的なサービスが充実しており、データ活用や分析基盤として高く評価されている。
　また、Kubernetesの開発元としてコンテナ技術にも強い。</t>
    <phoneticPr fontId="3"/>
  </si>
  <si>
    <r>
      <t xml:space="preserve">以下は解答です。
Amazon 〇〇：AWS初期から存在するサービスに多い。
AWS △△：比較的新しいサービスに多い。
接頭語なし：Fargate、Glue、Athena などがある。
</t>
    </r>
    <r>
      <rPr>
        <sz val="9"/>
        <color rgb="FFFF0000"/>
        <rFont val="Meiryo UI"/>
        <family val="3"/>
        <charset val="128"/>
      </rPr>
      <t>※厳密な命名ルールがあるわけではなく、サービスごとのブランド戦略や登場時期によって決められている。</t>
    </r>
    <rPh sb="0" eb="2">
      <t>イカ</t>
    </rPh>
    <rPh sb="3" eb="5">
      <t>カイトウ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</si>
</sst>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b/>
      <sz val="9"/>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b/>
      <sz val="11"/>
      <name val="ＭＳ Ｐゴシック"/>
      <family val="3"/>
      <charset val="128"/>
    </font>
  </fonts>
  <fills count="9">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06">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3" fillId="0" borderId="0" xfId="0" applyFont="1" applyAlignment="1">
      <alignment horizontal="center" vertical="center"/>
    </xf>
    <xf numFmtId="0" fontId="15" fillId="0" borderId="0" xfId="0" applyFont="1" applyAlignment="1">
      <alignment horizontal="center" vertical="center"/>
    </xf>
    <xf numFmtId="0" fontId="13"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5" borderId="1" xfId="0" applyFont="1" applyFill="1" applyBorder="1" applyAlignment="1">
      <alignment horizontal="left" vertical="top" wrapText="1"/>
    </xf>
    <xf numFmtId="0" fontId="11" fillId="0" borderId="0" xfId="0" applyFont="1" applyAlignment="1">
      <alignment horizontal="left" vertical="center"/>
    </xf>
    <xf numFmtId="0" fontId="5" fillId="0" borderId="0" xfId="0" applyFont="1" applyAlignment="1">
      <alignment horizontal="center" vertical="center" wrapText="1"/>
    </xf>
    <xf numFmtId="0" fontId="5" fillId="0" borderId="11" xfId="0" applyFont="1" applyBorder="1">
      <alignment vertical="center"/>
    </xf>
    <xf numFmtId="0" fontId="18" fillId="0" borderId="0" xfId="0" applyFont="1" applyAlignment="1">
      <alignment horizontal="left" vertical="center"/>
    </xf>
    <xf numFmtId="20" fontId="5" fillId="0" borderId="0" xfId="0" applyNumberFormat="1" applyFont="1" applyAlignment="1">
      <alignment horizontal="center" vertical="top"/>
    </xf>
    <xf numFmtId="20" fontId="16" fillId="0" borderId="0" xfId="0" applyNumberFormat="1" applyFont="1" applyAlignment="1">
      <alignment horizontal="center" vertical="top"/>
    </xf>
    <xf numFmtId="0" fontId="15"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2" fillId="3" borderId="1" xfId="0" applyFont="1" applyFill="1" applyBorder="1" applyAlignment="1">
      <alignment horizontal="center" vertical="center" wrapText="1"/>
    </xf>
    <xf numFmtId="0" fontId="20" fillId="0" borderId="12" xfId="3" applyFont="1" applyFill="1" applyBorder="1" applyAlignment="1">
      <alignment vertical="center" wrapText="1"/>
    </xf>
    <xf numFmtId="0" fontId="20" fillId="0" borderId="0" xfId="3" applyFont="1" applyFill="1" applyBorder="1" applyAlignment="1">
      <alignment vertical="center" wrapText="1"/>
    </xf>
    <xf numFmtId="0" fontId="21"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6"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6" fillId="0" borderId="8" xfId="0" applyNumberFormat="1" applyFont="1" applyBorder="1" applyAlignment="1">
      <alignment vertical="top"/>
    </xf>
    <xf numFmtId="20" fontId="16" fillId="0" borderId="9" xfId="0" applyNumberFormat="1" applyFont="1" applyBorder="1" applyAlignment="1">
      <alignment vertical="top"/>
    </xf>
    <xf numFmtId="20" fontId="16" fillId="0" borderId="10" xfId="0" applyNumberFormat="1" applyFont="1" applyBorder="1" applyAlignment="1">
      <alignment vertical="top"/>
    </xf>
    <xf numFmtId="0" fontId="18" fillId="7"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5" borderId="1" xfId="0" applyFont="1" applyFill="1" applyBorder="1" applyAlignment="1">
      <alignment horizontal="center" vertical="top" wrapText="1"/>
    </xf>
    <xf numFmtId="0" fontId="5" fillId="4" borderId="1" xfId="0" applyFont="1" applyFill="1" applyBorder="1" applyAlignment="1">
      <alignment horizontal="left" vertical="top" wrapText="1"/>
    </xf>
    <xf numFmtId="20" fontId="5" fillId="0" borderId="10" xfId="0" applyNumberFormat="1" applyFont="1" applyBorder="1">
      <alignment vertical="center"/>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vertical="center" wrapText="1"/>
    </xf>
    <xf numFmtId="20" fontId="16" fillId="0" borderId="12" xfId="0" applyNumberFormat="1" applyFont="1" applyBorder="1" applyAlignment="1">
      <alignment vertical="top"/>
    </xf>
    <xf numFmtId="20" fontId="5" fillId="0" borderId="12" xfId="0" applyNumberFormat="1" applyFont="1" applyBorder="1" applyAlignment="1">
      <alignment horizontal="right" vertical="top"/>
    </xf>
    <xf numFmtId="20" fontId="16" fillId="0" borderId="12" xfId="0" applyNumberFormat="1" applyFont="1" applyBorder="1" applyAlignment="1">
      <alignment horizontal="right" vertical="top"/>
    </xf>
    <xf numFmtId="20" fontId="16" fillId="0" borderId="14" xfId="0" applyNumberFormat="1" applyFont="1" applyBorder="1" applyAlignment="1">
      <alignment vertical="top"/>
    </xf>
    <xf numFmtId="0" fontId="5" fillId="5" borderId="0" xfId="3" applyFont="1" applyFill="1" applyBorder="1" applyAlignment="1">
      <alignment horizontal="left" vertical="top" wrapText="1"/>
    </xf>
    <xf numFmtId="20" fontId="5" fillId="5" borderId="1"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20" fontId="5" fillId="0" borderId="8" xfId="0" applyNumberFormat="1" applyFont="1" applyBorder="1" applyAlignment="1">
      <alignment vertical="top"/>
    </xf>
    <xf numFmtId="0" fontId="5" fillId="0" borderId="1" xfId="0" applyFont="1" applyBorder="1" applyAlignment="1">
      <alignment horizontal="left" vertical="center"/>
    </xf>
    <xf numFmtId="20" fontId="5" fillId="0" borderId="10" xfId="0" applyNumberFormat="1" applyFont="1" applyBorder="1" applyAlignment="1">
      <alignment vertical="top"/>
    </xf>
    <xf numFmtId="0" fontId="5" fillId="4" borderId="8" xfId="0" applyFont="1" applyFill="1" applyBorder="1" applyAlignment="1">
      <alignment vertical="top"/>
    </xf>
    <xf numFmtId="0" fontId="5" fillId="4" borderId="10" xfId="0" applyFont="1" applyFill="1" applyBorder="1" applyAlignment="1">
      <alignment vertical="top"/>
    </xf>
    <xf numFmtId="0" fontId="5" fillId="4" borderId="9" xfId="0" applyFont="1" applyFill="1" applyBorder="1" applyAlignment="1">
      <alignment vertical="top"/>
    </xf>
    <xf numFmtId="0" fontId="5" fillId="5"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22" fillId="0" borderId="0" xfId="0" applyFont="1">
      <alignment vertical="center"/>
    </xf>
    <xf numFmtId="0" fontId="0" fillId="8" borderId="0" xfId="0" applyFill="1">
      <alignment vertical="center"/>
    </xf>
    <xf numFmtId="0" fontId="5" fillId="0" borderId="8" xfId="0" applyFont="1" applyBorder="1" applyAlignment="1">
      <alignment vertical="top"/>
    </xf>
    <xf numFmtId="0" fontId="5" fillId="0" borderId="10" xfId="0" applyFont="1" applyBorder="1" applyAlignment="1">
      <alignment vertical="top"/>
    </xf>
    <xf numFmtId="0" fontId="5" fillId="0" borderId="9" xfId="0" applyFont="1" applyBorder="1" applyAlignment="1">
      <alignment vertical="top"/>
    </xf>
    <xf numFmtId="20" fontId="16" fillId="0" borderId="0" xfId="0" applyNumberFormat="1" applyFont="1" applyAlignment="1">
      <alignment horizontal="center" vertical="top"/>
    </xf>
    <xf numFmtId="0" fontId="13"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4" fillId="3" borderId="0" xfId="0" applyFont="1" applyFill="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5" fillId="5" borderId="3" xfId="0" applyFont="1" applyFill="1" applyBorder="1" applyAlignment="1">
      <alignment horizontal="left" vertical="top" wrapText="1"/>
    </xf>
    <xf numFmtId="0" fontId="5" fillId="5" borderId="4" xfId="0" applyFont="1" applyFill="1" applyBorder="1" applyAlignment="1">
      <alignment horizontal="left" vertical="top" wrapText="1"/>
    </xf>
    <xf numFmtId="0" fontId="5" fillId="5" borderId="5" xfId="0" applyFont="1" applyFill="1" applyBorder="1" applyAlignment="1">
      <alignment horizontal="left" vertical="top" wrapText="1"/>
    </xf>
    <xf numFmtId="0" fontId="17" fillId="3" borderId="2" xfId="0" applyFont="1" applyFill="1" applyBorder="1" applyAlignment="1">
      <alignment horizontal="center" vertical="center"/>
    </xf>
    <xf numFmtId="0" fontId="20"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20" fillId="0" borderId="1" xfId="3" applyFont="1" applyFill="1" applyBorder="1" applyAlignment="1">
      <alignment vertical="center"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8" xfId="0" applyFont="1" applyFill="1" applyBorder="1" applyAlignment="1">
      <alignment horizontal="center" vertical="top" textRotation="255" wrapText="1"/>
    </xf>
    <xf numFmtId="0" fontId="5" fillId="4" borderId="10" xfId="0" applyFont="1" applyFill="1" applyBorder="1" applyAlignment="1">
      <alignment horizontal="center" vertical="top" textRotation="255" wrapText="1"/>
    </xf>
    <xf numFmtId="0" fontId="5" fillId="4" borderId="9" xfId="0" applyFont="1" applyFill="1" applyBorder="1" applyAlignment="1">
      <alignment horizontal="center" vertical="top" textRotation="255" wrapText="1"/>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4"/>
  <sheetViews>
    <sheetView showGridLines="0" tabSelected="1" view="pageBreakPreview" zoomScale="90" zoomScaleNormal="115" zoomScaleSheetLayoutView="90" workbookViewId="0"/>
  </sheetViews>
  <sheetFormatPr defaultColWidth="9" defaultRowHeight="15"/>
  <cols>
    <col min="1" max="1" width="7" style="1" bestFit="1" customWidth="1"/>
    <col min="2" max="2" width="7.33203125" style="16" bestFit="1" customWidth="1"/>
    <col min="3" max="3" width="45" style="1" bestFit="1" customWidth="1"/>
    <col min="4" max="4" width="7.33203125" style="1" customWidth="1"/>
    <col min="5" max="5" width="45" style="1" customWidth="1"/>
    <col min="6" max="6" width="5.6640625" style="1" bestFit="1" customWidth="1"/>
    <col min="7" max="7" width="20.6640625" style="1" customWidth="1"/>
    <col min="8" max="8" width="5" style="1" customWidth="1"/>
    <col min="9" max="16384" width="9" style="6"/>
  </cols>
  <sheetData>
    <row r="2" spans="1:8" ht="27">
      <c r="A2" s="13"/>
      <c r="B2" s="81" t="str">
        <f>"コースプラン/インストラクションガイド 「"&amp;master!$B$1&amp;"_IG」"</f>
        <v>コースプラン/インストラクションガイド 「AI Native-AWS_IG」</v>
      </c>
      <c r="C2" s="81"/>
      <c r="D2" s="81"/>
      <c r="E2" s="81"/>
      <c r="F2" s="81"/>
      <c r="G2" s="81"/>
    </row>
    <row r="3" spans="1:8" ht="27.6" thickBot="1">
      <c r="A3" s="13"/>
      <c r="B3" s="15"/>
      <c r="C3" s="13"/>
      <c r="D3" s="13"/>
      <c r="E3" s="13"/>
      <c r="F3" s="13"/>
      <c r="G3" s="13"/>
    </row>
    <row r="4" spans="1:8" ht="27.6" thickBot="1">
      <c r="A4" s="13"/>
      <c r="B4" s="82" t="s">
        <v>11</v>
      </c>
      <c r="C4" s="83"/>
      <c r="D4" s="13"/>
      <c r="E4" s="13"/>
      <c r="F4" s="13"/>
      <c r="G4" s="13"/>
    </row>
    <row r="5" spans="1:8" ht="27.6" thickBot="1">
      <c r="A5" s="13"/>
      <c r="B5" s="84"/>
      <c r="C5" s="85"/>
      <c r="D5" s="13"/>
      <c r="E5" s="13"/>
      <c r="F5" s="13"/>
      <c r="G5" s="13"/>
    </row>
    <row r="7" spans="1:8" ht="16.2">
      <c r="B7" s="86" t="s">
        <v>2</v>
      </c>
      <c r="C7" s="86"/>
    </row>
    <row r="9" spans="1:8">
      <c r="B9" s="27"/>
      <c r="C9" s="27" t="s">
        <v>0</v>
      </c>
      <c r="G9" s="14"/>
    </row>
    <row r="10" spans="1:8" ht="14.25" customHeight="1">
      <c r="A10" s="40">
        <v>0.39583333333333331</v>
      </c>
      <c r="B10" s="17">
        <v>0.39583333333333331</v>
      </c>
      <c r="C10" s="71" t="s">
        <v>3</v>
      </c>
      <c r="G10" s="14" t="s">
        <v>12</v>
      </c>
    </row>
    <row r="11" spans="1:8">
      <c r="A11" s="42"/>
      <c r="B11" s="65">
        <v>0.40625</v>
      </c>
      <c r="C11" s="68" t="str">
        <f>master!B4</f>
        <v>クラウドとは？</v>
      </c>
      <c r="G11" s="14"/>
    </row>
    <row r="12" spans="1:8">
      <c r="A12" s="40">
        <v>0.41666666666666669</v>
      </c>
      <c r="B12" s="67"/>
      <c r="C12" s="69"/>
      <c r="G12" s="14" t="s">
        <v>12</v>
      </c>
    </row>
    <row r="13" spans="1:8">
      <c r="A13" s="41"/>
      <c r="B13" s="65">
        <v>0.42708333333333331</v>
      </c>
      <c r="C13" s="68" t="str">
        <f>master!B13</f>
        <v>AWSとは？</v>
      </c>
      <c r="F13" s="26"/>
      <c r="H13" s="6"/>
    </row>
    <row r="14" spans="1:8">
      <c r="A14" s="41"/>
      <c r="B14" s="67"/>
      <c r="C14" s="69"/>
      <c r="F14" s="80"/>
      <c r="H14" s="6"/>
    </row>
    <row r="15" spans="1:8">
      <c r="A15" s="42"/>
      <c r="B15" s="54" t="s">
        <v>30</v>
      </c>
      <c r="C15" s="69"/>
      <c r="F15" s="80"/>
      <c r="H15" s="6"/>
    </row>
    <row r="16" spans="1:8">
      <c r="A16" s="40">
        <v>0.45833333333333331</v>
      </c>
      <c r="B16" s="44"/>
      <c r="C16" s="70"/>
      <c r="F16" s="80"/>
      <c r="H16" s="6"/>
    </row>
    <row r="17" spans="1:8">
      <c r="A17" s="41"/>
      <c r="B17" s="43">
        <v>0.46875</v>
      </c>
      <c r="C17" s="68" t="str">
        <f>master!B29</f>
        <v>CDKとは？</v>
      </c>
      <c r="F17" s="80"/>
      <c r="H17" s="6"/>
    </row>
    <row r="18" spans="1:8">
      <c r="A18" s="41"/>
      <c r="B18" s="45"/>
      <c r="C18" s="69"/>
      <c r="F18" s="80"/>
      <c r="H18" s="6"/>
    </row>
    <row r="19" spans="1:8">
      <c r="A19" s="42"/>
      <c r="B19" s="44"/>
      <c r="C19" s="70"/>
      <c r="F19" s="80"/>
      <c r="H19" s="6"/>
    </row>
    <row r="20" spans="1:8">
      <c r="A20" s="64">
        <v>0.5</v>
      </c>
      <c r="B20" s="64">
        <v>0.5</v>
      </c>
      <c r="C20" s="68" t="str">
        <f>master!B39</f>
        <v>ガバクラとは？</v>
      </c>
      <c r="F20" s="80"/>
      <c r="H20" s="6"/>
    </row>
    <row r="21" spans="1:8">
      <c r="A21" s="59"/>
      <c r="B21" s="61"/>
      <c r="C21" s="70"/>
      <c r="F21" s="80"/>
      <c r="H21" s="6"/>
    </row>
    <row r="22" spans="1:8">
      <c r="A22" s="41"/>
      <c r="B22" s="41">
        <v>0.52083333333333337</v>
      </c>
      <c r="C22" s="72" t="s">
        <v>1</v>
      </c>
      <c r="F22" s="25"/>
      <c r="G22" s="10"/>
      <c r="H22" s="6"/>
    </row>
    <row r="23" spans="1:8">
      <c r="A23" s="42"/>
      <c r="B23" s="41" t="s">
        <v>30</v>
      </c>
      <c r="C23" s="73"/>
      <c r="F23" s="25"/>
      <c r="G23" s="10"/>
      <c r="H23" s="6"/>
    </row>
    <row r="24" spans="1:8">
      <c r="A24" s="40">
        <v>0.54166666666666663</v>
      </c>
      <c r="B24" s="41" t="s">
        <v>30</v>
      </c>
      <c r="C24" s="73"/>
      <c r="F24" s="25"/>
      <c r="G24" s="10"/>
      <c r="H24" s="6"/>
    </row>
    <row r="25" spans="1:8">
      <c r="A25" s="41"/>
      <c r="B25" s="42" t="s">
        <v>30</v>
      </c>
      <c r="C25" s="74"/>
      <c r="F25" s="25"/>
      <c r="G25" s="10"/>
      <c r="H25" s="6"/>
    </row>
    <row r="26" spans="1:8">
      <c r="A26" s="41"/>
      <c r="B26" s="43">
        <v>0.5625</v>
      </c>
      <c r="C26" s="77"/>
      <c r="F26" s="80"/>
      <c r="G26" s="14"/>
      <c r="H26" s="6"/>
    </row>
    <row r="27" spans="1:8">
      <c r="A27" s="42"/>
      <c r="B27" s="45"/>
      <c r="C27" s="78"/>
      <c r="F27" s="80"/>
      <c r="G27" s="14"/>
      <c r="H27" s="6"/>
    </row>
    <row r="28" spans="1:8">
      <c r="A28" s="40">
        <v>0.58333333333333337</v>
      </c>
      <c r="B28" s="45"/>
      <c r="C28" s="78"/>
      <c r="F28" s="80"/>
      <c r="H28" s="6"/>
    </row>
    <row r="29" spans="1:8">
      <c r="A29" s="41"/>
      <c r="B29" s="45"/>
      <c r="C29" s="78"/>
      <c r="D29" s="58"/>
      <c r="E29" s="55"/>
      <c r="F29" s="80"/>
      <c r="H29" s="6"/>
    </row>
    <row r="30" spans="1:8">
      <c r="A30" s="41"/>
      <c r="B30" s="45"/>
      <c r="C30" s="78"/>
      <c r="D30" s="58"/>
      <c r="E30" s="55"/>
      <c r="F30" s="80"/>
      <c r="H30" s="6"/>
    </row>
    <row r="31" spans="1:8">
      <c r="A31" s="42"/>
      <c r="B31" s="45"/>
      <c r="C31" s="78"/>
      <c r="D31" s="58"/>
      <c r="E31" s="11"/>
      <c r="F31" s="80"/>
      <c r="H31" s="6"/>
    </row>
    <row r="32" spans="1:8">
      <c r="A32" s="64">
        <v>0.625</v>
      </c>
      <c r="B32" s="45"/>
      <c r="C32" s="78"/>
      <c r="D32" s="58"/>
      <c r="E32" s="11"/>
      <c r="F32" s="80"/>
      <c r="H32" s="6"/>
    </row>
    <row r="33" spans="1:8">
      <c r="A33" s="59"/>
      <c r="B33" s="45"/>
      <c r="C33" s="78"/>
      <c r="D33" s="58"/>
      <c r="E33" s="55"/>
      <c r="F33" s="80"/>
      <c r="H33" s="6"/>
    </row>
    <row r="34" spans="1:8">
      <c r="A34" s="59"/>
      <c r="B34" s="45"/>
      <c r="C34" s="78"/>
      <c r="D34" s="58"/>
      <c r="E34" s="55"/>
      <c r="F34" s="80"/>
      <c r="H34" s="6"/>
    </row>
    <row r="35" spans="1:8">
      <c r="A35" s="42"/>
      <c r="B35" s="45"/>
      <c r="C35" s="78"/>
      <c r="D35" s="58"/>
      <c r="E35" s="55"/>
      <c r="F35" s="80"/>
      <c r="H35" s="6"/>
    </row>
    <row r="36" spans="1:8">
      <c r="A36" s="40">
        <v>0.66666666666666663</v>
      </c>
      <c r="B36" s="45"/>
      <c r="C36" s="78"/>
      <c r="D36" s="58"/>
      <c r="E36" s="11"/>
      <c r="F36" s="80"/>
      <c r="H36" s="6"/>
    </row>
    <row r="37" spans="1:8">
      <c r="A37" s="41"/>
      <c r="B37" s="45"/>
      <c r="C37" s="78"/>
      <c r="D37" s="58"/>
      <c r="E37" s="11"/>
      <c r="F37" s="80"/>
      <c r="H37" s="6"/>
    </row>
    <row r="38" spans="1:8">
      <c r="A38" s="41"/>
      <c r="B38" s="45"/>
      <c r="C38" s="78"/>
      <c r="D38" s="58"/>
      <c r="E38" s="11"/>
      <c r="F38" s="80"/>
      <c r="H38" s="6"/>
    </row>
    <row r="39" spans="1:8">
      <c r="A39" s="41"/>
      <c r="B39" s="45"/>
      <c r="C39" s="78"/>
      <c r="D39" s="58"/>
      <c r="E39" s="11"/>
      <c r="F39" s="80"/>
      <c r="H39" s="6"/>
    </row>
    <row r="40" spans="1:8">
      <c r="A40" s="43">
        <v>0.70833333333333337</v>
      </c>
      <c r="B40" s="45"/>
      <c r="C40" s="78"/>
      <c r="D40" s="58"/>
      <c r="E40" s="55"/>
      <c r="F40" s="80"/>
      <c r="H40" s="6"/>
    </row>
    <row r="41" spans="1:8">
      <c r="A41" s="41"/>
      <c r="B41" s="45"/>
      <c r="C41" s="78"/>
      <c r="D41" s="60"/>
      <c r="E41" s="56"/>
      <c r="F41" s="80"/>
      <c r="H41" s="6"/>
    </row>
    <row r="42" spans="1:8">
      <c r="A42" s="45"/>
      <c r="B42" s="45"/>
      <c r="C42" s="78"/>
      <c r="D42" s="58"/>
      <c r="E42" s="56"/>
      <c r="F42" s="80"/>
      <c r="H42" s="6"/>
    </row>
    <row r="43" spans="1:8" ht="14.25" customHeight="1">
      <c r="A43" s="44"/>
      <c r="B43" s="44"/>
      <c r="C43" s="79"/>
      <c r="D43" s="59"/>
      <c r="E43" s="57"/>
      <c r="F43" s="25"/>
      <c r="G43" s="14" t="s">
        <v>12</v>
      </c>
    </row>
    <row r="44" spans="1:8" ht="15.6" thickBot="1">
      <c r="A44" s="6"/>
      <c r="D44" s="23"/>
      <c r="H44" s="6"/>
    </row>
  </sheetData>
  <mergeCells count="10">
    <mergeCell ref="F26:F29"/>
    <mergeCell ref="F30:F33"/>
    <mergeCell ref="F34:F37"/>
    <mergeCell ref="F38:F42"/>
    <mergeCell ref="B2:G2"/>
    <mergeCell ref="B4:C4"/>
    <mergeCell ref="B5:C5"/>
    <mergeCell ref="B7:C7"/>
    <mergeCell ref="F14:F17"/>
    <mergeCell ref="F18:F21"/>
  </mergeCells>
  <phoneticPr fontId="3"/>
  <pageMargins left="0.7" right="0.7" top="0.75" bottom="0.75" header="0.3" footer="0.3"/>
  <pageSetup paperSize="9" scale="5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3"/>
  <sheetViews>
    <sheetView showGridLines="0" view="pageBreakPreview" zoomScale="90" zoomScaleNormal="100" zoomScaleSheetLayoutView="90" workbookViewId="0"/>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30" customWidth="1"/>
    <col min="9" max="10" width="6.6640625" style="10" customWidth="1"/>
    <col min="11" max="11" width="38.44140625" style="1" customWidth="1"/>
    <col min="12" max="12" width="4.6640625" style="1" customWidth="1"/>
    <col min="13" max="16384" width="9" style="6"/>
  </cols>
  <sheetData>
    <row r="2" spans="1:12" s="34" customFormat="1" ht="36.75" customHeight="1">
      <c r="B2" s="2" t="s">
        <v>28</v>
      </c>
      <c r="C2" s="2"/>
      <c r="D2" s="35"/>
      <c r="E2" s="35"/>
      <c r="F2" s="35"/>
      <c r="G2" s="2"/>
      <c r="H2" s="28"/>
      <c r="I2" s="35"/>
      <c r="J2" s="35"/>
      <c r="K2" s="2"/>
    </row>
    <row r="3" spans="1:12">
      <c r="C3" s="7"/>
      <c r="D3" s="8"/>
      <c r="E3" s="8"/>
      <c r="F3" s="8"/>
      <c r="G3" s="7"/>
      <c r="H3" s="29"/>
      <c r="I3" s="19"/>
      <c r="J3" s="19"/>
      <c r="K3" s="9"/>
    </row>
    <row r="4" spans="1:12" ht="16.2">
      <c r="B4" s="92" t="s">
        <v>4</v>
      </c>
      <c r="C4" s="92"/>
      <c r="D4" s="8"/>
      <c r="E4" s="8"/>
      <c r="F4" s="8"/>
      <c r="G4" s="7"/>
      <c r="H4" s="29"/>
      <c r="I4" s="19"/>
      <c r="J4" s="19"/>
      <c r="K4" s="9"/>
    </row>
    <row r="5" spans="1:12" ht="36" customHeight="1">
      <c r="B5" s="93"/>
      <c r="C5" s="93"/>
      <c r="D5" s="93"/>
      <c r="E5" s="93"/>
      <c r="F5" s="93"/>
      <c r="G5" s="93"/>
      <c r="H5" s="93"/>
      <c r="I5" s="93"/>
      <c r="J5" s="93"/>
      <c r="K5" s="93"/>
    </row>
    <row r="6" spans="1:12">
      <c r="B6" s="10"/>
      <c r="C6" s="10"/>
      <c r="G6" s="10"/>
      <c r="K6" s="10"/>
    </row>
    <row r="7" spans="1:12">
      <c r="B7" s="36" t="s">
        <v>15</v>
      </c>
      <c r="C7" s="36"/>
      <c r="D7" s="94" t="s">
        <v>21</v>
      </c>
      <c r="E7" s="94"/>
      <c r="F7" s="36" t="s">
        <v>10</v>
      </c>
      <c r="G7" s="36" t="s">
        <v>17</v>
      </c>
      <c r="K7" s="6"/>
      <c r="L7" s="6"/>
    </row>
    <row r="8" spans="1:12">
      <c r="B8" s="37" t="s">
        <v>18</v>
      </c>
      <c r="C8" s="38" t="s">
        <v>35</v>
      </c>
      <c r="D8" s="48" t="s">
        <v>20</v>
      </c>
      <c r="E8" s="47"/>
      <c r="F8" s="39" t="s">
        <v>23</v>
      </c>
      <c r="G8" s="39" t="s">
        <v>19</v>
      </c>
      <c r="K8" s="6"/>
      <c r="L8" s="6"/>
    </row>
    <row r="9" spans="1:12">
      <c r="B9" s="24"/>
      <c r="C9" s="21"/>
      <c r="D9" s="22"/>
      <c r="G9" s="10"/>
      <c r="K9" s="6"/>
      <c r="L9" s="6"/>
    </row>
    <row r="11" spans="1:12">
      <c r="A11" s="10"/>
      <c r="B11" s="88"/>
      <c r="C11" s="88" t="s">
        <v>7</v>
      </c>
      <c r="D11" s="88" t="s">
        <v>8</v>
      </c>
      <c r="E11" s="88"/>
      <c r="F11" s="88"/>
      <c r="G11" s="88" t="s">
        <v>9</v>
      </c>
      <c r="H11" s="95" t="s">
        <v>24</v>
      </c>
      <c r="I11" s="87" t="s">
        <v>33</v>
      </c>
      <c r="J11" s="87"/>
      <c r="K11" s="87" t="s">
        <v>32</v>
      </c>
      <c r="L11" s="10"/>
    </row>
    <row r="12" spans="1:12">
      <c r="A12" s="10"/>
      <c r="B12" s="88"/>
      <c r="C12" s="88"/>
      <c r="D12" s="88"/>
      <c r="E12" s="88"/>
      <c r="F12" s="88"/>
      <c r="G12" s="88"/>
      <c r="H12" s="96"/>
      <c r="I12" s="31" t="s">
        <v>26</v>
      </c>
      <c r="J12" s="31" t="s">
        <v>6</v>
      </c>
      <c r="K12" s="88"/>
      <c r="L12" s="10"/>
    </row>
    <row r="13" spans="1:12" ht="63">
      <c r="A13" s="10"/>
      <c r="B13" s="20"/>
      <c r="C13" s="20" t="s">
        <v>3</v>
      </c>
      <c r="D13" s="89" t="s">
        <v>46</v>
      </c>
      <c r="E13" s="90"/>
      <c r="F13" s="91"/>
      <c r="G13" s="62" t="s">
        <v>47</v>
      </c>
      <c r="H13" s="20"/>
      <c r="I13" s="52" t="s">
        <v>29</v>
      </c>
      <c r="J13" s="63">
        <v>1.0416666666666666E-2</v>
      </c>
      <c r="K13" s="20"/>
      <c r="L13" s="10"/>
    </row>
  </sheetData>
  <mergeCells count="11">
    <mergeCell ref="K11:K12"/>
    <mergeCell ref="D13:F13"/>
    <mergeCell ref="B4:C4"/>
    <mergeCell ref="B5:K5"/>
    <mergeCell ref="D7:E7"/>
    <mergeCell ref="B11:B12"/>
    <mergeCell ref="C11:C12"/>
    <mergeCell ref="D11:F12"/>
    <mergeCell ref="G11:G12"/>
    <mergeCell ref="H11:H12"/>
    <mergeCell ref="I11:J11"/>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master!#REF!</xm:f>
          </x14:formula1>
          <xm:sqref>H13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61"/>
  <sheetViews>
    <sheetView showGridLines="0" view="pageBreakPreview" zoomScale="90" zoomScaleNormal="100" zoomScaleSheetLayoutView="90" workbookViewId="0"/>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1:14" ht="36.75" customHeight="1">
      <c r="B2" s="2" t="s">
        <v>27</v>
      </c>
      <c r="C2" s="3"/>
      <c r="D2" s="3"/>
      <c r="E2" s="3"/>
      <c r="F2" s="4"/>
      <c r="G2" s="4"/>
      <c r="H2" s="3"/>
      <c r="I2" s="18"/>
      <c r="J2" s="18"/>
      <c r="K2" s="18"/>
      <c r="L2" s="9"/>
      <c r="M2" s="5"/>
    </row>
    <row r="3" spans="1:14">
      <c r="C3" s="7"/>
      <c r="D3" s="7"/>
      <c r="E3" s="7"/>
      <c r="F3" s="8"/>
      <c r="G3" s="8"/>
      <c r="H3" s="7"/>
      <c r="I3" s="19"/>
      <c r="J3" s="19"/>
      <c r="K3" s="19"/>
      <c r="L3" s="9"/>
      <c r="M3" s="9"/>
    </row>
    <row r="4" spans="1:14" ht="16.2">
      <c r="B4" s="92" t="s">
        <v>4</v>
      </c>
      <c r="C4" s="92"/>
      <c r="D4" s="92"/>
      <c r="E4" s="92"/>
      <c r="F4" s="8"/>
      <c r="G4" s="8"/>
      <c r="H4" s="7"/>
      <c r="I4" s="19"/>
      <c r="J4" s="19"/>
      <c r="K4" s="19"/>
      <c r="L4" s="9"/>
      <c r="M4" s="9"/>
    </row>
    <row r="5" spans="1:14" ht="36" customHeight="1">
      <c r="B5" s="99"/>
      <c r="C5" s="99"/>
      <c r="D5" s="99"/>
      <c r="E5" s="99"/>
      <c r="F5" s="99"/>
      <c r="G5" s="99"/>
      <c r="H5" s="99"/>
      <c r="I5" s="99"/>
      <c r="J5" s="99"/>
      <c r="K5" s="99"/>
      <c r="L5" s="32"/>
      <c r="M5" s="33"/>
    </row>
    <row r="6" spans="1:14" ht="32.4" customHeight="1">
      <c r="B6" s="99"/>
      <c r="C6" s="99"/>
      <c r="D6" s="99"/>
      <c r="E6" s="99"/>
      <c r="F6" s="99"/>
      <c r="G6" s="99"/>
      <c r="H6" s="99"/>
      <c r="I6" s="99"/>
      <c r="J6" s="99"/>
      <c r="K6" s="99"/>
      <c r="L6" s="32"/>
      <c r="M6" s="33"/>
    </row>
    <row r="7" spans="1:14">
      <c r="B7" s="10"/>
      <c r="C7" s="10"/>
      <c r="D7" s="10"/>
      <c r="E7" s="10"/>
      <c r="H7" s="10"/>
      <c r="L7" s="10"/>
      <c r="M7" s="10"/>
    </row>
    <row r="8" spans="1:14">
      <c r="B8" s="36" t="s">
        <v>15</v>
      </c>
      <c r="C8" s="36" t="s">
        <v>16</v>
      </c>
      <c r="D8" s="36" t="s">
        <v>31</v>
      </c>
      <c r="E8" s="36"/>
      <c r="F8" s="36" t="s">
        <v>10</v>
      </c>
      <c r="G8" s="36" t="s">
        <v>17</v>
      </c>
      <c r="I8" s="50"/>
      <c r="J8" s="6"/>
      <c r="K8" s="6"/>
      <c r="L8" s="6"/>
      <c r="M8" s="6"/>
      <c r="N8" s="6"/>
    </row>
    <row r="9" spans="1:14">
      <c r="B9" s="37" t="s">
        <v>36</v>
      </c>
      <c r="C9" s="66" t="s">
        <v>103</v>
      </c>
      <c r="D9" s="39" t="s">
        <v>20</v>
      </c>
      <c r="E9" s="39"/>
      <c r="F9" s="39" t="s">
        <v>22</v>
      </c>
      <c r="G9" s="39" t="s">
        <v>19</v>
      </c>
      <c r="K9" s="6"/>
      <c r="L9" s="6"/>
      <c r="M9" s="6"/>
      <c r="N9" s="6"/>
    </row>
    <row r="10" spans="1:14">
      <c r="B10" s="37" t="s">
        <v>37</v>
      </c>
      <c r="C10" s="66" t="s">
        <v>104</v>
      </c>
      <c r="D10" s="39" t="s">
        <v>20</v>
      </c>
      <c r="E10" s="39"/>
      <c r="F10" s="39" t="s">
        <v>22</v>
      </c>
      <c r="G10" s="39" t="s">
        <v>19</v>
      </c>
      <c r="K10" s="6"/>
      <c r="L10" s="6"/>
      <c r="M10" s="6"/>
      <c r="N10" s="6"/>
    </row>
    <row r="11" spans="1:14">
      <c r="B11" s="37" t="s">
        <v>48</v>
      </c>
      <c r="C11" s="39" t="s">
        <v>105</v>
      </c>
      <c r="D11" s="39" t="s">
        <v>20</v>
      </c>
      <c r="E11" s="39"/>
      <c r="F11" s="39" t="s">
        <v>22</v>
      </c>
      <c r="G11" s="39" t="s">
        <v>19</v>
      </c>
      <c r="K11" s="6"/>
      <c r="L11" s="6"/>
      <c r="M11" s="6"/>
      <c r="N11" s="6"/>
    </row>
    <row r="13" spans="1:14" ht="24" customHeight="1">
      <c r="A13" s="10"/>
      <c r="B13" s="88" t="s">
        <v>5</v>
      </c>
      <c r="C13" s="88" t="s">
        <v>7</v>
      </c>
      <c r="D13" s="88" t="s">
        <v>8</v>
      </c>
      <c r="E13" s="88"/>
      <c r="F13" s="88"/>
      <c r="G13" s="88" t="s">
        <v>9</v>
      </c>
      <c r="H13" s="87" t="s">
        <v>24</v>
      </c>
      <c r="I13" s="97" t="s">
        <v>33</v>
      </c>
      <c r="J13" s="98"/>
      <c r="K13" s="87" t="s">
        <v>34</v>
      </c>
      <c r="L13" s="6"/>
      <c r="M13" s="6"/>
      <c r="N13" s="6"/>
    </row>
    <row r="14" spans="1:14">
      <c r="A14" s="10"/>
      <c r="B14" s="88"/>
      <c r="C14" s="88"/>
      <c r="D14" s="88"/>
      <c r="E14" s="88"/>
      <c r="F14" s="88"/>
      <c r="G14" s="88"/>
      <c r="H14" s="87"/>
      <c r="I14" s="31" t="s">
        <v>26</v>
      </c>
      <c r="J14" s="31" t="s">
        <v>6</v>
      </c>
      <c r="K14" s="88"/>
      <c r="L14" s="6"/>
      <c r="M14" s="6"/>
      <c r="N14" s="6"/>
    </row>
    <row r="15" spans="1:14" ht="88.2">
      <c r="A15" s="10"/>
      <c r="B15" s="103" t="str">
        <f>master!B4</f>
        <v>クラウドとは？</v>
      </c>
      <c r="C15" s="53" t="str">
        <f>master!C4</f>
        <v>１．IT業界の歴史</v>
      </c>
      <c r="D15" s="100" t="s">
        <v>107</v>
      </c>
      <c r="E15" s="101"/>
      <c r="F15" s="102"/>
      <c r="G15" s="53" t="s">
        <v>43</v>
      </c>
      <c r="H15" s="12"/>
      <c r="I15" s="51" t="s">
        <v>25</v>
      </c>
      <c r="J15" s="49">
        <v>1.3888888888888889E-3</v>
      </c>
      <c r="K15" s="46"/>
      <c r="L15" s="6"/>
      <c r="M15" s="6"/>
      <c r="N15" s="6"/>
    </row>
    <row r="16" spans="1:14" ht="100.8">
      <c r="A16" s="10"/>
      <c r="B16" s="104"/>
      <c r="C16" s="53" t="str">
        <f>master!C5</f>
        <v>２．クラウドの市場価値向上</v>
      </c>
      <c r="D16" s="100" t="s">
        <v>157</v>
      </c>
      <c r="E16" s="101"/>
      <c r="F16" s="102"/>
      <c r="G16" s="53" t="s">
        <v>45</v>
      </c>
      <c r="H16" s="12"/>
      <c r="I16" s="51" t="s">
        <v>25</v>
      </c>
      <c r="J16" s="49">
        <v>2.0833333333333333E-3</v>
      </c>
      <c r="K16" s="46"/>
      <c r="L16" s="6"/>
      <c r="M16" s="6"/>
      <c r="N16" s="6"/>
    </row>
    <row r="17" spans="1:14" ht="138.6">
      <c r="A17" s="11"/>
      <c r="B17" s="104"/>
      <c r="C17" s="53" t="str">
        <f>master!C6</f>
        <v>３．クラウドとは？</v>
      </c>
      <c r="D17" s="100" t="s">
        <v>158</v>
      </c>
      <c r="E17" s="101"/>
      <c r="F17" s="102"/>
      <c r="G17" s="53" t="s">
        <v>38</v>
      </c>
      <c r="H17" s="12"/>
      <c r="I17" s="51" t="s">
        <v>25</v>
      </c>
      <c r="J17" s="49">
        <v>2.0833333333333333E-3</v>
      </c>
      <c r="K17" s="46"/>
      <c r="L17" s="6"/>
      <c r="M17" s="6"/>
      <c r="N17" s="6"/>
    </row>
    <row r="18" spans="1:14" ht="100.8">
      <c r="A18" s="11"/>
      <c r="B18" s="104"/>
      <c r="C18" s="53" t="str">
        <f>master!C7</f>
        <v>４．オンプレミスとのコスト比較</v>
      </c>
      <c r="D18" s="100" t="s">
        <v>159</v>
      </c>
      <c r="E18" s="101"/>
      <c r="F18" s="102"/>
      <c r="G18" s="53" t="s">
        <v>45</v>
      </c>
      <c r="H18" s="12"/>
      <c r="I18" s="51" t="s">
        <v>25</v>
      </c>
      <c r="J18" s="49">
        <v>2.0833333333333333E-3</v>
      </c>
      <c r="K18" s="46"/>
      <c r="L18" s="6"/>
      <c r="M18" s="6"/>
      <c r="N18" s="6"/>
    </row>
    <row r="19" spans="1:14" ht="201.6">
      <c r="A19" s="11"/>
      <c r="B19" s="104"/>
      <c r="C19" s="53" t="str">
        <f>master!C8</f>
        <v>５．クラウドの特徴</v>
      </c>
      <c r="D19" s="100" t="s">
        <v>108</v>
      </c>
      <c r="E19" s="101"/>
      <c r="F19" s="102"/>
      <c r="G19" s="53" t="s">
        <v>50</v>
      </c>
      <c r="H19" s="12"/>
      <c r="I19" s="51" t="s">
        <v>25</v>
      </c>
      <c r="J19" s="49">
        <v>3.472222222222222E-3</v>
      </c>
      <c r="K19" s="46"/>
      <c r="L19" s="6"/>
      <c r="M19" s="6"/>
      <c r="N19" s="6"/>
    </row>
    <row r="20" spans="1:14" ht="113.4">
      <c r="A20" s="11"/>
      <c r="B20" s="104"/>
      <c r="C20" s="53" t="str">
        <f>master!C9</f>
        <v>６．クラウドの特徴2</v>
      </c>
      <c r="D20" s="100" t="s">
        <v>110</v>
      </c>
      <c r="E20" s="101"/>
      <c r="F20" s="102"/>
      <c r="G20" s="53" t="s">
        <v>42</v>
      </c>
      <c r="H20" s="12"/>
      <c r="I20" s="51" t="s">
        <v>25</v>
      </c>
      <c r="J20" s="49">
        <v>2.0833333333333333E-3</v>
      </c>
      <c r="K20" s="46"/>
      <c r="L20" s="6"/>
      <c r="M20" s="6"/>
      <c r="N20" s="6"/>
    </row>
    <row r="21" spans="1:14" ht="151.19999999999999">
      <c r="A21" s="11"/>
      <c r="B21" s="104"/>
      <c r="C21" s="53" t="str">
        <f>master!C10</f>
        <v>７．アベイラビリティゾーンとリージョン</v>
      </c>
      <c r="D21" s="100" t="s">
        <v>113</v>
      </c>
      <c r="E21" s="101"/>
      <c r="F21" s="102"/>
      <c r="G21" s="53" t="s">
        <v>49</v>
      </c>
      <c r="H21" s="12"/>
      <c r="I21" s="51" t="s">
        <v>25</v>
      </c>
      <c r="J21" s="49">
        <v>2.0833333333333333E-3</v>
      </c>
      <c r="K21" s="46"/>
      <c r="L21" s="6"/>
      <c r="M21" s="6"/>
      <c r="N21" s="6"/>
    </row>
    <row r="22" spans="1:14" ht="100.8">
      <c r="A22" s="11"/>
      <c r="B22" s="104"/>
      <c r="C22" s="53" t="str">
        <f>master!C11</f>
        <v>８．クラウドにおける責任共有モデル</v>
      </c>
      <c r="D22" s="100" t="s">
        <v>111</v>
      </c>
      <c r="E22" s="101"/>
      <c r="F22" s="102"/>
      <c r="G22" s="53" t="s">
        <v>45</v>
      </c>
      <c r="H22" s="12"/>
      <c r="I22" s="51" t="s">
        <v>25</v>
      </c>
      <c r="J22" s="49">
        <v>1.3888888888888889E-3</v>
      </c>
      <c r="K22" s="46"/>
      <c r="L22" s="6"/>
      <c r="M22" s="6"/>
      <c r="N22" s="6"/>
    </row>
    <row r="23" spans="1:14" ht="37.799999999999997">
      <c r="A23" s="11"/>
      <c r="B23" s="105"/>
      <c r="C23" s="53" t="str">
        <f>master!C12</f>
        <v>９．NTTデータはデータセンターが得意　【コラム】</v>
      </c>
      <c r="D23" s="100" t="s">
        <v>112</v>
      </c>
      <c r="E23" s="101"/>
      <c r="F23" s="102"/>
      <c r="G23" s="53" t="s">
        <v>39</v>
      </c>
      <c r="H23" s="12"/>
      <c r="I23" s="51" t="s">
        <v>25</v>
      </c>
      <c r="J23" s="49">
        <v>2.0833333333333333E-3</v>
      </c>
      <c r="K23" s="46"/>
      <c r="L23" s="6"/>
      <c r="M23" s="6"/>
      <c r="N23" s="6"/>
    </row>
    <row r="24" spans="1:14" ht="75.599999999999994">
      <c r="A24" s="11"/>
      <c r="B24" s="103" t="str">
        <f>master!B13</f>
        <v>AWSとは？</v>
      </c>
      <c r="C24" s="53" t="str">
        <f>master!C13</f>
        <v>10．AWSとは？</v>
      </c>
      <c r="D24" s="100" t="s">
        <v>114</v>
      </c>
      <c r="E24" s="101"/>
      <c r="F24" s="102"/>
      <c r="G24" s="53" t="s">
        <v>41</v>
      </c>
      <c r="H24" s="12"/>
      <c r="I24" s="51" t="s">
        <v>25</v>
      </c>
      <c r="J24" s="49">
        <v>1.3888888888888889E-3</v>
      </c>
      <c r="K24" s="46"/>
      <c r="L24" s="6"/>
      <c r="M24" s="6"/>
      <c r="N24" s="6"/>
    </row>
    <row r="25" spans="1:14" ht="100.8">
      <c r="A25" s="11"/>
      <c r="B25" s="104"/>
      <c r="C25" s="53" t="str">
        <f>master!C14</f>
        <v>11．AWSの利用産業</v>
      </c>
      <c r="D25" s="100" t="s">
        <v>115</v>
      </c>
      <c r="E25" s="101"/>
      <c r="F25" s="102"/>
      <c r="G25" s="53" t="s">
        <v>45</v>
      </c>
      <c r="H25" s="12"/>
      <c r="I25" s="51" t="s">
        <v>25</v>
      </c>
      <c r="J25" s="49">
        <v>1.3888888888888889E-3</v>
      </c>
      <c r="K25" s="46"/>
      <c r="L25" s="6"/>
      <c r="M25" s="6"/>
      <c r="N25" s="6"/>
    </row>
    <row r="26" spans="1:14" ht="176.4">
      <c r="A26" s="11"/>
      <c r="B26" s="104"/>
      <c r="C26" s="53" t="str">
        <f>master!C15</f>
        <v>12．Web3層アーキテクチャ</v>
      </c>
      <c r="D26" s="100" t="s">
        <v>165</v>
      </c>
      <c r="E26" s="101"/>
      <c r="F26" s="102"/>
      <c r="G26" s="53" t="s">
        <v>116</v>
      </c>
      <c r="H26" s="12"/>
      <c r="I26" s="51" t="s">
        <v>25</v>
      </c>
      <c r="J26" s="49">
        <v>3.472222222222222E-3</v>
      </c>
      <c r="K26" s="46"/>
      <c r="L26" s="6"/>
      <c r="M26" s="6"/>
      <c r="N26" s="6"/>
    </row>
    <row r="27" spans="1:14" ht="201.6">
      <c r="A27" s="11"/>
      <c r="B27" s="104"/>
      <c r="C27" s="53" t="str">
        <f>master!C16</f>
        <v>13．AWSの基本アーキテクチャ</v>
      </c>
      <c r="D27" s="100" t="s">
        <v>122</v>
      </c>
      <c r="E27" s="101"/>
      <c r="F27" s="102"/>
      <c r="G27" s="53" t="s">
        <v>50</v>
      </c>
      <c r="H27" s="12"/>
      <c r="I27" s="51" t="s">
        <v>25</v>
      </c>
      <c r="J27" s="49">
        <v>2.0833333333333333E-3</v>
      </c>
      <c r="K27" s="46"/>
      <c r="L27" s="6"/>
      <c r="M27" s="6"/>
      <c r="N27" s="6"/>
    </row>
    <row r="28" spans="1:14" ht="113.4">
      <c r="A28" s="11"/>
      <c r="B28" s="104"/>
      <c r="C28" s="53" t="str">
        <f>master!C17</f>
        <v>14．Amazon VPC（Virtual Private Cloud）</v>
      </c>
      <c r="D28" s="100" t="s">
        <v>164</v>
      </c>
      <c r="E28" s="101"/>
      <c r="F28" s="102"/>
      <c r="G28" s="53" t="s">
        <v>42</v>
      </c>
      <c r="H28" s="12"/>
      <c r="I28" s="51" t="s">
        <v>25</v>
      </c>
      <c r="J28" s="49">
        <v>2.0833333333333333E-3</v>
      </c>
      <c r="K28" s="46"/>
      <c r="L28" s="6"/>
      <c r="M28" s="6"/>
      <c r="N28" s="6"/>
    </row>
    <row r="29" spans="1:14" ht="138.6">
      <c r="A29" s="11"/>
      <c r="B29" s="104"/>
      <c r="C29" s="53" t="str">
        <f>master!C18</f>
        <v>15．Amazon EC2（Elastic Compute Cloud）</v>
      </c>
      <c r="D29" s="100" t="s">
        <v>160</v>
      </c>
      <c r="E29" s="101"/>
      <c r="F29" s="102"/>
      <c r="G29" s="53" t="s">
        <v>38</v>
      </c>
      <c r="H29" s="12"/>
      <c r="I29" s="51" t="s">
        <v>25</v>
      </c>
      <c r="J29" s="49">
        <v>2.0833333333333333E-3</v>
      </c>
      <c r="K29" s="46"/>
      <c r="L29" s="6"/>
      <c r="M29" s="6"/>
      <c r="N29" s="6"/>
    </row>
    <row r="30" spans="1:14" ht="189">
      <c r="A30" s="11"/>
      <c r="B30" s="104"/>
      <c r="C30" s="53" t="str">
        <f>master!C19</f>
        <v>16．Amazon RDS（Relational Database Service）</v>
      </c>
      <c r="D30" s="100" t="s">
        <v>161</v>
      </c>
      <c r="E30" s="101"/>
      <c r="F30" s="102"/>
      <c r="G30" s="53" t="s">
        <v>52</v>
      </c>
      <c r="H30" s="12"/>
      <c r="I30" s="51" t="s">
        <v>25</v>
      </c>
      <c r="J30" s="49">
        <v>2.0833333333333333E-3</v>
      </c>
      <c r="K30" s="46"/>
      <c r="L30" s="6"/>
      <c r="M30" s="6"/>
      <c r="N30" s="6"/>
    </row>
    <row r="31" spans="1:14" ht="201.6">
      <c r="A31" s="11"/>
      <c r="B31" s="104"/>
      <c r="C31" s="53" t="str">
        <f>master!C20</f>
        <v>17．マネージドサービスとは？</v>
      </c>
      <c r="D31" s="100" t="s">
        <v>162</v>
      </c>
      <c r="E31" s="101"/>
      <c r="F31" s="102"/>
      <c r="G31" s="53" t="s">
        <v>50</v>
      </c>
      <c r="H31" s="12"/>
      <c r="I31" s="51" t="s">
        <v>25</v>
      </c>
      <c r="J31" s="49">
        <v>2.0833333333333333E-3</v>
      </c>
      <c r="K31" s="46"/>
      <c r="L31" s="6"/>
      <c r="M31" s="6"/>
      <c r="N31" s="6"/>
    </row>
    <row r="32" spans="1:14" ht="176.4">
      <c r="A32" s="11"/>
      <c r="B32" s="104"/>
      <c r="C32" s="53" t="str">
        <f>master!C21</f>
        <v>18．ELB（Elastic Load Balancing）</v>
      </c>
      <c r="D32" s="100" t="s">
        <v>163</v>
      </c>
      <c r="E32" s="101"/>
      <c r="F32" s="102"/>
      <c r="G32" s="53" t="s">
        <v>116</v>
      </c>
      <c r="H32" s="12"/>
      <c r="I32" s="51" t="s">
        <v>25</v>
      </c>
      <c r="J32" s="49">
        <v>2.0833333333333333E-3</v>
      </c>
      <c r="K32" s="46"/>
      <c r="L32" s="6"/>
      <c r="M32" s="6"/>
      <c r="N32" s="6"/>
    </row>
    <row r="33" spans="1:14" ht="214.2">
      <c r="A33" s="11"/>
      <c r="B33" s="104"/>
      <c r="C33" s="53" t="str">
        <f>master!C22</f>
        <v>19．Amazon S3（Simple Storage Service）</v>
      </c>
      <c r="D33" s="100" t="s">
        <v>121</v>
      </c>
      <c r="E33" s="101"/>
      <c r="F33" s="102"/>
      <c r="G33" s="53" t="s">
        <v>120</v>
      </c>
      <c r="H33" s="12"/>
      <c r="I33" s="51" t="s">
        <v>25</v>
      </c>
      <c r="J33" s="49">
        <v>2.0833333333333333E-3</v>
      </c>
      <c r="K33" s="46"/>
      <c r="L33" s="6"/>
      <c r="M33" s="6"/>
      <c r="N33" s="6"/>
    </row>
    <row r="34" spans="1:14" ht="176.4">
      <c r="A34" s="11"/>
      <c r="B34" s="104"/>
      <c r="C34" s="53" t="str">
        <f>master!C23</f>
        <v>20．Amazon CloudWatch</v>
      </c>
      <c r="D34" s="100" t="s">
        <v>123</v>
      </c>
      <c r="E34" s="101"/>
      <c r="F34" s="102"/>
      <c r="G34" s="53" t="s">
        <v>116</v>
      </c>
      <c r="H34" s="12"/>
      <c r="I34" s="51" t="s">
        <v>25</v>
      </c>
      <c r="J34" s="49">
        <v>2.0833333333333333E-3</v>
      </c>
      <c r="K34" s="46"/>
      <c r="L34" s="6"/>
      <c r="M34" s="6"/>
      <c r="N34" s="6"/>
    </row>
    <row r="35" spans="1:14" ht="239.4">
      <c r="A35" s="11"/>
      <c r="B35" s="104"/>
      <c r="C35" s="53" t="str">
        <f>master!C24</f>
        <v>21．コンピューティングサービス</v>
      </c>
      <c r="D35" s="100" t="s">
        <v>126</v>
      </c>
      <c r="E35" s="101"/>
      <c r="F35" s="102"/>
      <c r="G35" s="53" t="s">
        <v>119</v>
      </c>
      <c r="H35" s="12"/>
      <c r="I35" s="51" t="s">
        <v>25</v>
      </c>
      <c r="J35" s="49">
        <v>2.0833333333333333E-3</v>
      </c>
      <c r="K35" s="46"/>
      <c r="L35" s="6"/>
      <c r="M35" s="6"/>
      <c r="N35" s="6"/>
    </row>
    <row r="36" spans="1:14" ht="277.2">
      <c r="A36" s="11"/>
      <c r="B36" s="104"/>
      <c r="C36" s="53" t="str">
        <f>master!C25</f>
        <v>22．コンテナとは？</v>
      </c>
      <c r="D36" s="100" t="s">
        <v>127</v>
      </c>
      <c r="E36" s="101"/>
      <c r="F36" s="102"/>
      <c r="G36" s="53" t="s">
        <v>128</v>
      </c>
      <c r="H36" s="12"/>
      <c r="I36" s="51" t="s">
        <v>25</v>
      </c>
      <c r="J36" s="49">
        <v>3.472222222222222E-3</v>
      </c>
      <c r="K36" s="46"/>
      <c r="L36" s="6"/>
      <c r="M36" s="6"/>
      <c r="N36" s="6"/>
    </row>
    <row r="37" spans="1:14" ht="327.60000000000002">
      <c r="A37" s="11"/>
      <c r="B37" s="104"/>
      <c r="C37" s="53" t="str">
        <f>master!C26</f>
        <v>23．Amazon ECS (Elastic Container Service)</v>
      </c>
      <c r="D37" s="100" t="s">
        <v>129</v>
      </c>
      <c r="E37" s="101"/>
      <c r="F37" s="102"/>
      <c r="G37" s="53" t="s">
        <v>130</v>
      </c>
      <c r="H37" s="12"/>
      <c r="I37" s="51" t="s">
        <v>25</v>
      </c>
      <c r="J37" s="49">
        <v>3.472222222222222E-3</v>
      </c>
      <c r="K37" s="46"/>
      <c r="L37" s="6"/>
      <c r="M37" s="6"/>
      <c r="N37" s="6"/>
    </row>
    <row r="38" spans="1:14" ht="126">
      <c r="A38" s="11"/>
      <c r="B38" s="104"/>
      <c r="C38" s="53" t="str">
        <f>master!C27</f>
        <v>24．AWS Lambda</v>
      </c>
      <c r="D38" s="100" t="s">
        <v>131</v>
      </c>
      <c r="E38" s="101"/>
      <c r="F38" s="102"/>
      <c r="G38" s="53" t="s">
        <v>109</v>
      </c>
      <c r="H38" s="12"/>
      <c r="I38" s="51" t="s">
        <v>25</v>
      </c>
      <c r="J38" s="49">
        <v>2.0833333333333333E-3</v>
      </c>
      <c r="K38" s="46"/>
      <c r="L38" s="6"/>
      <c r="M38" s="6"/>
      <c r="N38" s="6"/>
    </row>
    <row r="39" spans="1:14" ht="25.2">
      <c r="A39" s="11"/>
      <c r="B39" s="105"/>
      <c r="C39" s="53" t="str">
        <f>master!C28</f>
        <v>25．その他の周辺サービス</v>
      </c>
      <c r="D39" s="100"/>
      <c r="E39" s="101"/>
      <c r="F39" s="102"/>
      <c r="G39" s="53" t="s">
        <v>44</v>
      </c>
      <c r="H39" s="12"/>
      <c r="I39" s="51" t="s">
        <v>25</v>
      </c>
      <c r="J39" s="49">
        <v>2.0833333333333333E-3</v>
      </c>
      <c r="K39" s="46"/>
      <c r="L39" s="6"/>
      <c r="M39" s="6"/>
      <c r="N39" s="6"/>
    </row>
    <row r="40" spans="1:14" ht="252">
      <c r="A40" s="11"/>
      <c r="B40" s="103" t="str">
        <f>master!B29</f>
        <v>CDKとは？</v>
      </c>
      <c r="C40" s="53" t="str">
        <f>master!C29</f>
        <v>26．AWS、Azure、Google Cloudの違い　【コラム】</v>
      </c>
      <c r="D40" s="100" t="s">
        <v>166</v>
      </c>
      <c r="E40" s="101"/>
      <c r="F40" s="102"/>
      <c r="G40" s="53" t="s">
        <v>117</v>
      </c>
      <c r="H40" s="12"/>
      <c r="I40" s="51" t="s">
        <v>25</v>
      </c>
      <c r="J40" s="49">
        <v>2.0833333333333333E-3</v>
      </c>
      <c r="K40" s="46"/>
      <c r="L40" s="6"/>
      <c r="M40" s="6"/>
      <c r="N40" s="6"/>
    </row>
    <row r="41" spans="1:14" ht="189">
      <c r="A41" s="11"/>
      <c r="B41" s="104"/>
      <c r="C41" s="53" t="str">
        <f>master!C30</f>
        <v>27．Infrastructure as Code (IaC) とは？</v>
      </c>
      <c r="D41" s="100" t="s">
        <v>133</v>
      </c>
      <c r="E41" s="101"/>
      <c r="F41" s="102"/>
      <c r="G41" s="53" t="s">
        <v>52</v>
      </c>
      <c r="H41" s="12"/>
      <c r="I41" s="51" t="s">
        <v>25</v>
      </c>
      <c r="J41" s="49">
        <v>3.472222222222222E-3</v>
      </c>
      <c r="K41" s="46"/>
      <c r="L41" s="6"/>
      <c r="M41" s="6"/>
      <c r="N41" s="6"/>
    </row>
    <row r="42" spans="1:14" ht="226.8">
      <c r="A42" s="11"/>
      <c r="B42" s="104"/>
      <c r="C42" s="53" t="str">
        <f>master!C31</f>
        <v>28．IaCのメリット</v>
      </c>
      <c r="D42" s="100" t="s">
        <v>134</v>
      </c>
      <c r="E42" s="101"/>
      <c r="F42" s="102"/>
      <c r="G42" s="53" t="s">
        <v>132</v>
      </c>
      <c r="H42" s="12"/>
      <c r="I42" s="51" t="s">
        <v>25</v>
      </c>
      <c r="J42" s="49">
        <v>2.0833333333333333E-3</v>
      </c>
      <c r="K42" s="46"/>
      <c r="L42" s="6"/>
      <c r="M42" s="6"/>
      <c r="N42" s="6"/>
    </row>
    <row r="43" spans="1:14" ht="239.4">
      <c r="A43" s="11"/>
      <c r="B43" s="104"/>
      <c r="C43" s="53" t="str">
        <f>master!C32</f>
        <v>29．IaCを実現するためのAWSサービス</v>
      </c>
      <c r="D43" s="100" t="s">
        <v>135</v>
      </c>
      <c r="E43" s="101"/>
      <c r="F43" s="102"/>
      <c r="G43" s="53" t="s">
        <v>119</v>
      </c>
      <c r="H43" s="12"/>
      <c r="I43" s="51" t="s">
        <v>25</v>
      </c>
      <c r="J43" s="49">
        <v>2.0833333333333333E-3</v>
      </c>
      <c r="K43" s="46"/>
      <c r="L43" s="6"/>
      <c r="M43" s="6"/>
      <c r="N43" s="6"/>
    </row>
    <row r="44" spans="1:14" ht="239.4">
      <c r="A44" s="11"/>
      <c r="B44" s="104"/>
      <c r="C44" s="53" t="str">
        <f>master!C33</f>
        <v>30．AWS CDKのメリット</v>
      </c>
      <c r="D44" s="100" t="s">
        <v>136</v>
      </c>
      <c r="E44" s="101"/>
      <c r="F44" s="102"/>
      <c r="G44" s="53" t="s">
        <v>119</v>
      </c>
      <c r="H44" s="12"/>
      <c r="I44" s="51" t="s">
        <v>25</v>
      </c>
      <c r="J44" s="49">
        <v>3.472222222222222E-3</v>
      </c>
      <c r="K44" s="46"/>
      <c r="L44" s="6"/>
      <c r="M44" s="6"/>
      <c r="N44" s="6"/>
    </row>
    <row r="45" spans="1:14" ht="264.60000000000002">
      <c r="A45" s="11"/>
      <c r="B45" s="104"/>
      <c r="C45" s="53" t="str">
        <f>master!C34</f>
        <v>31．AWS CDKの仕組み</v>
      </c>
      <c r="D45" s="100" t="s">
        <v>137</v>
      </c>
      <c r="E45" s="101"/>
      <c r="F45" s="102"/>
      <c r="G45" s="53" t="s">
        <v>124</v>
      </c>
      <c r="H45" s="12"/>
      <c r="I45" s="51" t="s">
        <v>25</v>
      </c>
      <c r="J45" s="49">
        <v>3.472222222222222E-3</v>
      </c>
      <c r="K45" s="46"/>
      <c r="L45" s="6"/>
      <c r="M45" s="6"/>
      <c r="N45" s="6"/>
    </row>
    <row r="46" spans="1:14" ht="100.8">
      <c r="A46" s="11"/>
      <c r="B46" s="104"/>
      <c r="C46" s="53" t="str">
        <f>master!C35</f>
        <v>32．AWS CloudFormationとの違い</v>
      </c>
      <c r="D46" s="100" t="s">
        <v>138</v>
      </c>
      <c r="E46" s="101"/>
      <c r="F46" s="102"/>
      <c r="G46" s="53" t="s">
        <v>45</v>
      </c>
      <c r="H46" s="12"/>
      <c r="I46" s="51" t="s">
        <v>25</v>
      </c>
      <c r="J46" s="49">
        <v>2.0833333333333333E-3</v>
      </c>
      <c r="K46" s="46"/>
      <c r="L46" s="6"/>
      <c r="M46" s="6"/>
      <c r="N46" s="6"/>
    </row>
    <row r="47" spans="1:14" ht="163.80000000000001">
      <c r="A47" s="11"/>
      <c r="B47" s="104"/>
      <c r="C47" s="53" t="str">
        <f>master!C36</f>
        <v>33．クラウド移⾏時の7つの⽅式</v>
      </c>
      <c r="D47" s="100" t="s">
        <v>139</v>
      </c>
      <c r="E47" s="101"/>
      <c r="F47" s="102"/>
      <c r="G47" s="53" t="s">
        <v>51</v>
      </c>
      <c r="H47" s="12"/>
      <c r="I47" s="51" t="s">
        <v>25</v>
      </c>
      <c r="J47" s="49">
        <v>2.0833333333333333E-3</v>
      </c>
      <c r="K47" s="46"/>
      <c r="L47" s="6"/>
      <c r="M47" s="6"/>
      <c r="N47" s="6"/>
    </row>
    <row r="48" spans="1:14" ht="138.6">
      <c r="A48" s="11"/>
      <c r="B48" s="104"/>
      <c r="C48" s="53" t="str">
        <f>master!C37</f>
        <v>34．移行イメージ</v>
      </c>
      <c r="D48" s="100" t="s">
        <v>140</v>
      </c>
      <c r="E48" s="101"/>
      <c r="F48" s="102"/>
      <c r="G48" s="53" t="s">
        <v>38</v>
      </c>
      <c r="H48" s="12"/>
      <c r="I48" s="51" t="s">
        <v>25</v>
      </c>
      <c r="J48" s="49">
        <v>2.0833333333333333E-3</v>
      </c>
      <c r="K48" s="46"/>
      <c r="L48" s="6"/>
      <c r="M48" s="6"/>
      <c r="N48" s="6"/>
    </row>
    <row r="49" spans="1:14" ht="138.6">
      <c r="A49" s="11"/>
      <c r="B49" s="105"/>
      <c r="C49" s="53" t="str">
        <f>master!C38</f>
        <v>35．ReplatformとRefactorの比較</v>
      </c>
      <c r="D49" s="100" t="s">
        <v>141</v>
      </c>
      <c r="E49" s="101"/>
      <c r="F49" s="102"/>
      <c r="G49" s="53" t="s">
        <v>38</v>
      </c>
      <c r="H49" s="12"/>
      <c r="I49" s="51" t="s">
        <v>25</v>
      </c>
      <c r="J49" s="49">
        <v>2.0833333333333333E-3</v>
      </c>
      <c r="K49" s="46"/>
      <c r="L49" s="6"/>
      <c r="M49" s="6"/>
      <c r="N49" s="6"/>
    </row>
    <row r="50" spans="1:14" ht="50.4">
      <c r="A50" s="11"/>
      <c r="B50" s="103" t="str">
        <f>master!B39</f>
        <v>ガバクラとは？</v>
      </c>
      <c r="C50" s="53" t="str">
        <f>master!C39</f>
        <v>36．ガバメントクラウドとは？</v>
      </c>
      <c r="D50" s="100" t="s">
        <v>142</v>
      </c>
      <c r="E50" s="101"/>
      <c r="F50" s="102"/>
      <c r="G50" s="53" t="s">
        <v>40</v>
      </c>
      <c r="H50" s="12"/>
      <c r="I50" s="51" t="s">
        <v>25</v>
      </c>
      <c r="J50" s="49">
        <v>1.3888888888888889E-3</v>
      </c>
      <c r="K50" s="46"/>
      <c r="L50" s="6"/>
      <c r="M50" s="6"/>
      <c r="N50" s="6"/>
    </row>
    <row r="51" spans="1:14" ht="176.4">
      <c r="A51" s="11"/>
      <c r="B51" s="104"/>
      <c r="C51" s="53" t="str">
        <f>master!C40</f>
        <v>37．ガバメントクラウド対象</v>
      </c>
      <c r="D51" s="100" t="s">
        <v>143</v>
      </c>
      <c r="E51" s="101"/>
      <c r="F51" s="102"/>
      <c r="G51" s="53" t="s">
        <v>116</v>
      </c>
      <c r="H51" s="12"/>
      <c r="I51" s="51" t="s">
        <v>25</v>
      </c>
      <c r="J51" s="49">
        <v>2.0833333333333333E-3</v>
      </c>
      <c r="K51" s="46"/>
      <c r="L51" s="6"/>
      <c r="M51" s="6"/>
      <c r="N51" s="6"/>
    </row>
    <row r="52" spans="1:14" ht="289.8">
      <c r="A52" s="11"/>
      <c r="B52" s="104"/>
      <c r="C52" s="53" t="str">
        <f>master!C41</f>
        <v>38．ガバナンスとセキュリティ</v>
      </c>
      <c r="D52" s="100" t="s">
        <v>144</v>
      </c>
      <c r="E52" s="101"/>
      <c r="F52" s="102"/>
      <c r="G52" s="53" t="s">
        <v>118</v>
      </c>
      <c r="H52" s="12"/>
      <c r="I52" s="51" t="s">
        <v>25</v>
      </c>
      <c r="J52" s="49">
        <v>2.0833333333333333E-3</v>
      </c>
      <c r="K52" s="46"/>
      <c r="L52" s="6"/>
      <c r="M52" s="6"/>
      <c r="N52" s="6"/>
    </row>
    <row r="53" spans="1:14" ht="189">
      <c r="A53" s="11"/>
      <c r="B53" s="104"/>
      <c r="C53" s="53" t="str">
        <f>master!C42</f>
        <v>39．ガバメントクラウドテンプレート</v>
      </c>
      <c r="D53" s="100" t="s">
        <v>145</v>
      </c>
      <c r="E53" s="101"/>
      <c r="F53" s="102"/>
      <c r="G53" s="53" t="s">
        <v>52</v>
      </c>
      <c r="H53" s="12"/>
      <c r="I53" s="51" t="s">
        <v>25</v>
      </c>
      <c r="J53" s="49">
        <v>1.3888888888888889E-3</v>
      </c>
      <c r="K53" s="46"/>
      <c r="L53" s="6"/>
      <c r="M53" s="6"/>
      <c r="N53" s="6"/>
    </row>
    <row r="54" spans="1:14" ht="163.80000000000001">
      <c r="A54" s="11"/>
      <c r="B54" s="104"/>
      <c r="C54" s="53" t="str">
        <f>master!C43</f>
        <v>40．マネージドサービスの活用</v>
      </c>
      <c r="D54" s="100" t="s">
        <v>146</v>
      </c>
      <c r="E54" s="101"/>
      <c r="F54" s="102"/>
      <c r="G54" s="53" t="s">
        <v>51</v>
      </c>
      <c r="H54" s="12"/>
      <c r="I54" s="51" t="s">
        <v>25</v>
      </c>
      <c r="J54" s="49">
        <v>1.3888888888888889E-3</v>
      </c>
      <c r="K54" s="46"/>
      <c r="L54" s="6"/>
      <c r="M54" s="6"/>
      <c r="N54" s="6"/>
    </row>
    <row r="55" spans="1:14" ht="239.4">
      <c r="A55" s="11"/>
      <c r="B55" s="104"/>
      <c r="C55" s="53" t="str">
        <f>master!C44</f>
        <v>41．リアーキテクチャとは？</v>
      </c>
      <c r="D55" s="100" t="s">
        <v>147</v>
      </c>
      <c r="E55" s="101"/>
      <c r="F55" s="102"/>
      <c r="G55" s="53" t="s">
        <v>119</v>
      </c>
      <c r="H55" s="12"/>
      <c r="I55" s="51" t="s">
        <v>25</v>
      </c>
      <c r="J55" s="49">
        <v>2.0833333333333333E-3</v>
      </c>
      <c r="K55" s="46"/>
      <c r="L55" s="6"/>
      <c r="M55" s="6"/>
      <c r="N55" s="6"/>
    </row>
    <row r="56" spans="1:14" ht="176.4">
      <c r="A56" s="11"/>
      <c r="B56" s="104"/>
      <c r="C56" s="53" t="str">
        <f>master!C45</f>
        <v>42．リアーキテクチャの重要性</v>
      </c>
      <c r="D56" s="100" t="s">
        <v>148</v>
      </c>
      <c r="E56" s="101"/>
      <c r="F56" s="102"/>
      <c r="G56" s="53" t="s">
        <v>116</v>
      </c>
      <c r="H56" s="12"/>
      <c r="I56" s="51" t="s">
        <v>25</v>
      </c>
      <c r="J56" s="49">
        <v>2.0833333333333333E-3</v>
      </c>
      <c r="K56" s="46"/>
      <c r="L56" s="6"/>
      <c r="M56" s="6"/>
      <c r="N56" s="6"/>
    </row>
    <row r="57" spans="1:14" ht="239.4">
      <c r="A57" s="11"/>
      <c r="B57" s="104"/>
      <c r="C57" s="53" t="str">
        <f>master!C46</f>
        <v>43．リアーキテクチャの実施プロセス</v>
      </c>
      <c r="D57" s="100" t="s">
        <v>149</v>
      </c>
      <c r="E57" s="101"/>
      <c r="F57" s="102"/>
      <c r="G57" s="53" t="s">
        <v>119</v>
      </c>
      <c r="H57" s="12"/>
      <c r="I57" s="51" t="s">
        <v>25</v>
      </c>
      <c r="J57" s="49">
        <v>2.0833333333333333E-3</v>
      </c>
      <c r="K57" s="46"/>
      <c r="L57" s="6"/>
      <c r="M57" s="6"/>
      <c r="N57" s="6"/>
    </row>
    <row r="58" spans="1:14" ht="302.39999999999998">
      <c r="A58" s="11"/>
      <c r="B58" s="104"/>
      <c r="C58" s="53" t="str">
        <f>master!C47</f>
        <v>44．リアーキテクチャの手法</v>
      </c>
      <c r="D58" s="100" t="s">
        <v>152</v>
      </c>
      <c r="E58" s="101"/>
      <c r="F58" s="102"/>
      <c r="G58" s="53" t="s">
        <v>125</v>
      </c>
      <c r="H58" s="12"/>
      <c r="I58" s="51" t="s">
        <v>25</v>
      </c>
      <c r="J58" s="49">
        <v>2.0833333333333333E-3</v>
      </c>
      <c r="K58" s="46"/>
      <c r="L58" s="6"/>
      <c r="M58" s="6"/>
      <c r="N58" s="6"/>
    </row>
    <row r="59" spans="1:14" ht="25.2">
      <c r="A59" s="11"/>
      <c r="B59" s="104"/>
      <c r="C59" s="53" t="str">
        <f>master!C48</f>
        <v>45．本講義のまとめ</v>
      </c>
      <c r="D59" s="100" t="s">
        <v>153</v>
      </c>
      <c r="E59" s="101"/>
      <c r="F59" s="102"/>
      <c r="G59" s="53" t="s">
        <v>44</v>
      </c>
      <c r="H59" s="12"/>
      <c r="I59" s="51" t="s">
        <v>25</v>
      </c>
      <c r="J59" s="49">
        <v>3.472222222222222E-3</v>
      </c>
      <c r="K59" s="46"/>
      <c r="L59" s="6"/>
      <c r="M59" s="6"/>
      <c r="N59" s="6"/>
    </row>
    <row r="60" spans="1:14" ht="37.799999999999997">
      <c r="A60" s="11"/>
      <c r="B60" s="104"/>
      <c r="C60" s="53" t="str">
        <f>master!C49</f>
        <v>46．AWS CDKの講師デモ</v>
      </c>
      <c r="D60" s="100" t="s">
        <v>150</v>
      </c>
      <c r="E60" s="101"/>
      <c r="F60" s="102"/>
      <c r="G60" s="53" t="s">
        <v>151</v>
      </c>
      <c r="H60" s="12"/>
      <c r="I60" s="51" t="s">
        <v>154</v>
      </c>
      <c r="J60" s="49">
        <v>1.3888888888888888E-2</v>
      </c>
      <c r="K60" s="46" t="s">
        <v>155</v>
      </c>
      <c r="L60" s="6"/>
      <c r="M60" s="6"/>
      <c r="N60" s="6"/>
    </row>
    <row r="61" spans="1:14" ht="88.2">
      <c r="A61" s="11"/>
      <c r="B61" s="105"/>
      <c r="C61" s="53" t="str">
        <f>master!C50</f>
        <v>47．AWS 豆知識　【コラム】</v>
      </c>
      <c r="D61" s="100" t="s">
        <v>167</v>
      </c>
      <c r="E61" s="101"/>
      <c r="F61" s="102"/>
      <c r="G61" s="53" t="s">
        <v>43</v>
      </c>
      <c r="H61" s="12"/>
      <c r="I61" s="51" t="s">
        <v>154</v>
      </c>
      <c r="J61" s="49">
        <v>3.472222222222222E-3</v>
      </c>
      <c r="K61" s="46" t="s">
        <v>155</v>
      </c>
      <c r="L61" s="6"/>
      <c r="M61" s="6"/>
      <c r="N61" s="6"/>
    </row>
  </sheetData>
  <mergeCells count="60">
    <mergeCell ref="D54:F54"/>
    <mergeCell ref="D52:F52"/>
    <mergeCell ref="D53:F53"/>
    <mergeCell ref="D50:F50"/>
    <mergeCell ref="D51:F51"/>
    <mergeCell ref="D48:F48"/>
    <mergeCell ref="D49:F49"/>
    <mergeCell ref="B15:B23"/>
    <mergeCell ref="B24:B39"/>
    <mergeCell ref="B40:B49"/>
    <mergeCell ref="D30:F30"/>
    <mergeCell ref="D31:F31"/>
    <mergeCell ref="D32:F32"/>
    <mergeCell ref="D33:F33"/>
    <mergeCell ref="D34:F34"/>
    <mergeCell ref="D35:F35"/>
    <mergeCell ref="D36:F36"/>
    <mergeCell ref="D37:F37"/>
    <mergeCell ref="D38:F38"/>
    <mergeCell ref="D39:F39"/>
    <mergeCell ref="D15:F15"/>
    <mergeCell ref="B50:B61"/>
    <mergeCell ref="D60:F60"/>
    <mergeCell ref="D57:F57"/>
    <mergeCell ref="D55:F55"/>
    <mergeCell ref="D40:F40"/>
    <mergeCell ref="D41:F41"/>
    <mergeCell ref="D42:F42"/>
    <mergeCell ref="D61:F61"/>
    <mergeCell ref="D43:F43"/>
    <mergeCell ref="D44:F44"/>
    <mergeCell ref="D45:F45"/>
    <mergeCell ref="D46:F46"/>
    <mergeCell ref="D47:F47"/>
    <mergeCell ref="D58:F58"/>
    <mergeCell ref="D56:F56"/>
    <mergeCell ref="D59:F59"/>
    <mergeCell ref="D29:F29"/>
    <mergeCell ref="D16:F16"/>
    <mergeCell ref="D22:F22"/>
    <mergeCell ref="D17:F17"/>
    <mergeCell ref="D19:F19"/>
    <mergeCell ref="D21:F21"/>
    <mergeCell ref="D28:F28"/>
    <mergeCell ref="D18:F18"/>
    <mergeCell ref="D20:F20"/>
    <mergeCell ref="D23:F23"/>
    <mergeCell ref="D24:F24"/>
    <mergeCell ref="D25:F25"/>
    <mergeCell ref="D26:F26"/>
    <mergeCell ref="D27:F27"/>
    <mergeCell ref="I13:J13"/>
    <mergeCell ref="H13:H14"/>
    <mergeCell ref="B4:E4"/>
    <mergeCell ref="B5:K6"/>
    <mergeCell ref="D13:F14"/>
    <mergeCell ref="G13:G14"/>
    <mergeCell ref="B13:B14"/>
    <mergeCell ref="C13:C14"/>
    <mergeCell ref="K13:K14"/>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master!#REF!</xm:f>
          </x14:formula1>
          <xm:sqref>H15:H61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50"/>
  <sheetViews>
    <sheetView workbookViewId="0"/>
  </sheetViews>
  <sheetFormatPr defaultColWidth="8.88671875" defaultRowHeight="13.2"/>
  <cols>
    <col min="1" max="1" width="4.6640625" customWidth="1"/>
    <col min="2" max="2" width="40.109375" customWidth="1"/>
    <col min="3" max="3" width="44" bestFit="1" customWidth="1"/>
  </cols>
  <sheetData>
    <row r="1" spans="2:3">
      <c r="B1" t="s">
        <v>156</v>
      </c>
    </row>
    <row r="2" spans="2:3">
      <c r="B2" s="75" t="s">
        <v>13</v>
      </c>
      <c r="C2" s="75" t="s">
        <v>14</v>
      </c>
    </row>
    <row r="3" spans="2:3">
      <c r="B3" s="76"/>
      <c r="C3" s="76"/>
    </row>
    <row r="4" spans="2:3">
      <c r="B4" t="s">
        <v>100</v>
      </c>
      <c r="C4" t="s">
        <v>53</v>
      </c>
    </row>
    <row r="5" spans="2:3">
      <c r="C5" t="s">
        <v>54</v>
      </c>
    </row>
    <row r="6" spans="2:3">
      <c r="C6" t="s">
        <v>55</v>
      </c>
    </row>
    <row r="7" spans="2:3">
      <c r="C7" t="s">
        <v>56</v>
      </c>
    </row>
    <row r="8" spans="2:3">
      <c r="C8" t="s">
        <v>57</v>
      </c>
    </row>
    <row r="9" spans="2:3">
      <c r="C9" t="s">
        <v>58</v>
      </c>
    </row>
    <row r="10" spans="2:3">
      <c r="C10" t="s">
        <v>59</v>
      </c>
    </row>
    <row r="11" spans="2:3">
      <c r="C11" t="s">
        <v>60</v>
      </c>
    </row>
    <row r="12" spans="2:3">
      <c r="C12" t="s">
        <v>61</v>
      </c>
    </row>
    <row r="13" spans="2:3">
      <c r="B13" t="s">
        <v>101</v>
      </c>
      <c r="C13" t="s">
        <v>62</v>
      </c>
    </row>
    <row r="14" spans="2:3">
      <c r="C14" t="s">
        <v>63</v>
      </c>
    </row>
    <row r="15" spans="2:3">
      <c r="C15" t="s">
        <v>64</v>
      </c>
    </row>
    <row r="16" spans="2:3">
      <c r="C16" t="s">
        <v>65</v>
      </c>
    </row>
    <row r="17" spans="2:3">
      <c r="C17" t="s">
        <v>66</v>
      </c>
    </row>
    <row r="18" spans="2:3">
      <c r="C18" t="s">
        <v>67</v>
      </c>
    </row>
    <row r="19" spans="2:3">
      <c r="C19" t="s">
        <v>68</v>
      </c>
    </row>
    <row r="20" spans="2:3">
      <c r="C20" t="s">
        <v>69</v>
      </c>
    </row>
    <row r="21" spans="2:3">
      <c r="C21" t="s">
        <v>70</v>
      </c>
    </row>
    <row r="22" spans="2:3">
      <c r="C22" t="s">
        <v>71</v>
      </c>
    </row>
    <row r="23" spans="2:3">
      <c r="C23" t="s">
        <v>72</v>
      </c>
    </row>
    <row r="24" spans="2:3">
      <c r="C24" t="s">
        <v>73</v>
      </c>
    </row>
    <row r="25" spans="2:3">
      <c r="C25" t="s">
        <v>74</v>
      </c>
    </row>
    <row r="26" spans="2:3">
      <c r="C26" t="s">
        <v>75</v>
      </c>
    </row>
    <row r="27" spans="2:3">
      <c r="C27" t="s">
        <v>76</v>
      </c>
    </row>
    <row r="28" spans="2:3">
      <c r="C28" t="s">
        <v>77</v>
      </c>
    </row>
    <row r="29" spans="2:3">
      <c r="B29" t="s">
        <v>102</v>
      </c>
      <c r="C29" t="s">
        <v>78</v>
      </c>
    </row>
    <row r="30" spans="2:3">
      <c r="C30" t="s">
        <v>79</v>
      </c>
    </row>
    <row r="31" spans="2:3">
      <c r="C31" t="s">
        <v>80</v>
      </c>
    </row>
    <row r="32" spans="2:3">
      <c r="C32" t="s">
        <v>81</v>
      </c>
    </row>
    <row r="33" spans="2:3">
      <c r="C33" t="s">
        <v>82</v>
      </c>
    </row>
    <row r="34" spans="2:3">
      <c r="C34" t="s">
        <v>83</v>
      </c>
    </row>
    <row r="35" spans="2:3">
      <c r="C35" t="s">
        <v>84</v>
      </c>
    </row>
    <row r="36" spans="2:3">
      <c r="C36" t="s">
        <v>85</v>
      </c>
    </row>
    <row r="37" spans="2:3">
      <c r="C37" t="s">
        <v>86</v>
      </c>
    </row>
    <row r="38" spans="2:3">
      <c r="C38" t="s">
        <v>87</v>
      </c>
    </row>
    <row r="39" spans="2:3">
      <c r="B39" t="s">
        <v>88</v>
      </c>
      <c r="C39" t="s">
        <v>89</v>
      </c>
    </row>
    <row r="40" spans="2:3">
      <c r="C40" t="s">
        <v>90</v>
      </c>
    </row>
    <row r="41" spans="2:3">
      <c r="C41" t="s">
        <v>91</v>
      </c>
    </row>
    <row r="42" spans="2:3">
      <c r="C42" t="s">
        <v>92</v>
      </c>
    </row>
    <row r="43" spans="2:3">
      <c r="C43" t="s">
        <v>93</v>
      </c>
    </row>
    <row r="44" spans="2:3">
      <c r="C44" t="s">
        <v>94</v>
      </c>
    </row>
    <row r="45" spans="2:3">
      <c r="C45" t="s">
        <v>95</v>
      </c>
    </row>
    <row r="46" spans="2:3">
      <c r="C46" t="s">
        <v>96</v>
      </c>
    </row>
    <row r="47" spans="2:3">
      <c r="C47" t="s">
        <v>97</v>
      </c>
    </row>
    <row r="48" spans="2:3">
      <c r="C48" t="s">
        <v>98</v>
      </c>
    </row>
    <row r="49" spans="3:3">
      <c r="C49" t="s">
        <v>106</v>
      </c>
    </row>
    <row r="50" spans="3:3">
      <c r="C50" t="s">
        <v>99</v>
      </c>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スケジュール（1日）</vt:lpstr>
      <vt:lpstr>特記イベント</vt:lpstr>
      <vt:lpstr>講義</vt:lpstr>
      <vt:lpstr>master</vt:lpstr>
      <vt:lpstr>'スケジュール（1日）'!Print_Area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2026-06-17T00:31:15Z</dcterms:modified>
</cp:coreProperties>
</file>
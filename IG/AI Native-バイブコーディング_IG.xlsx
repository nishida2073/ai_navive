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myrepo\ai_navive\IG\"/>
    </mc:Choice>
  </mc:AlternateContent>
  <xr:revisionPtr revIDLastSave="0" documentId="13_ncr:1_{37FB369A-7BE0-442F-8C01-B60CBD95190A}" xr6:coauthVersionLast="47" xr6:coauthVersionMax="47" xr10:uidLastSave="{00000000-0000-0000-0000-000000000000}"/>
  <bookViews>
    <workbookView xWindow="-108" yWindow="-108" windowWidth="23256" windowHeight="12456" tabRatio="860" xr2:uid="{00000000-000D-0000-FFFF-FFFF00000000}"/>
  </bookViews>
  <sheets>
    <sheet name="スケジュール（1日）" sheetId="33" r:id="rId1"/>
    <sheet name="特記イベント" sheetId="36" r:id="rId2"/>
    <sheet name="講義" sheetId="31" r:id="rId3"/>
    <sheet name="master" sheetId="21" r:id="rId4"/>
  </sheets>
  <definedNames>
    <definedName name="_xlnm.Print_Area" localSheetId="0">'スケジュール（1日）'!$A$1:$H$44</definedName>
    <definedName name="_xlnm.Print_Area" localSheetId="2">講義!$A$1:$L$149</definedName>
    <definedName name="_xlnm.Print_Area" localSheetId="1">特記イベント!$A$1:$L$15</definedName>
  </definedNames>
  <calcPr calcId="191029"/>
</workbook>
</file>

<file path=xl/calcChain.xml><?xml version="1.0" encoding="utf-8"?>
<calcChain xmlns="http://schemas.openxmlformats.org/spreadsheetml/2006/main">
  <c r="C118" i="31" l="1"/>
  <c r="B118" i="31"/>
  <c r="C146" i="31"/>
  <c r="B146" i="31"/>
  <c r="B144" i="31"/>
  <c r="B126" i="31"/>
  <c r="B122" i="31"/>
  <c r="B119" i="31"/>
  <c r="C145" i="31"/>
  <c r="C144" i="31"/>
  <c r="C143" i="31"/>
  <c r="C142" i="31"/>
  <c r="C141" i="31"/>
  <c r="C140" i="31"/>
  <c r="C139" i="31"/>
  <c r="C138" i="31"/>
  <c r="C137" i="31"/>
  <c r="C136" i="31"/>
  <c r="C135" i="31"/>
  <c r="C134" i="31"/>
  <c r="C133" i="31"/>
  <c r="C132" i="31"/>
  <c r="C131" i="31"/>
  <c r="C130" i="31"/>
  <c r="C129" i="31"/>
  <c r="C128" i="31"/>
  <c r="C127" i="31"/>
  <c r="C126" i="31"/>
  <c r="C125" i="31"/>
  <c r="C124" i="31"/>
  <c r="C123" i="31"/>
  <c r="C122" i="31"/>
  <c r="C121" i="31"/>
  <c r="C120" i="31"/>
  <c r="C119" i="31"/>
  <c r="B106" i="31"/>
  <c r="B104" i="31"/>
  <c r="C103" i="31"/>
  <c r="C102" i="31"/>
  <c r="B102" i="31"/>
  <c r="C101" i="31"/>
  <c r="B101" i="31"/>
  <c r="C100" i="31"/>
  <c r="B100" i="31"/>
  <c r="C98" i="31"/>
  <c r="C90" i="31"/>
  <c r="C67" i="31"/>
  <c r="C99" i="31"/>
  <c r="C97" i="31"/>
  <c r="C96" i="31"/>
  <c r="C95" i="31"/>
  <c r="B92" i="31"/>
  <c r="B72" i="31"/>
  <c r="B59" i="31"/>
  <c r="B94" i="31"/>
  <c r="C94" i="31"/>
  <c r="C93" i="31"/>
  <c r="C92" i="31"/>
  <c r="C89" i="31"/>
  <c r="C88" i="31"/>
  <c r="C87" i="31"/>
  <c r="C85" i="31"/>
  <c r="C84" i="31"/>
  <c r="C83" i="31"/>
  <c r="C82" i="31"/>
  <c r="C80" i="31"/>
  <c r="C78" i="31"/>
  <c r="C76" i="31"/>
  <c r="C74" i="31"/>
  <c r="C73" i="31"/>
  <c r="C72" i="31"/>
  <c r="C71" i="31"/>
  <c r="C70" i="31"/>
  <c r="C69" i="31"/>
  <c r="C68" i="31"/>
  <c r="C66" i="31"/>
  <c r="C65" i="31"/>
  <c r="C64" i="31"/>
  <c r="C63" i="31"/>
  <c r="C62" i="31"/>
  <c r="C61" i="31"/>
  <c r="C60" i="31"/>
  <c r="C59" i="31"/>
  <c r="C58" i="31"/>
  <c r="C57" i="31"/>
  <c r="C56" i="31"/>
  <c r="B56" i="31"/>
  <c r="C25" i="31"/>
  <c r="B29" i="31"/>
  <c r="B37" i="31"/>
  <c r="C55" i="31"/>
  <c r="C54" i="31"/>
  <c r="C53" i="31"/>
  <c r="C52" i="31"/>
  <c r="C51" i="31"/>
  <c r="C50" i="31"/>
  <c r="C49" i="31"/>
  <c r="C48" i="31"/>
  <c r="C47" i="31"/>
  <c r="C46" i="31"/>
  <c r="C45" i="31"/>
  <c r="C44" i="31"/>
  <c r="C43" i="31"/>
  <c r="C42" i="31"/>
  <c r="C41" i="31"/>
  <c r="C40" i="31"/>
  <c r="C39" i="31"/>
  <c r="C38" i="31"/>
  <c r="C37" i="31"/>
  <c r="C36" i="31"/>
  <c r="C35" i="31"/>
  <c r="C34" i="31"/>
  <c r="C33" i="31"/>
  <c r="C32" i="31"/>
  <c r="C31" i="31"/>
  <c r="C30" i="31"/>
  <c r="C29" i="31"/>
  <c r="C28" i="31"/>
  <c r="C22" i="31"/>
  <c r="B22" i="31"/>
  <c r="B2" i="33"/>
  <c r="C34" i="33"/>
  <c r="C29" i="33"/>
  <c r="C27" i="33"/>
  <c r="C20" i="33"/>
  <c r="C19" i="33"/>
  <c r="C17" i="33"/>
  <c r="C14" i="33"/>
  <c r="C11" i="33"/>
  <c r="B23" i="31"/>
  <c r="C24" i="31"/>
  <c r="C26" i="31"/>
  <c r="C23"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00000000-0006-0000-01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8" authorId="0" shapeId="0" xr:uid="{00000000-0006-0000-0200-000001000000}">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<sst xmlns="http://schemas.openxmlformats.org/spreadsheetml/2006/main" count="642" uniqueCount="355">
  <si>
    <t>1 日目</t>
    <rPh sb="2" eb="3">
      <t>ニチ</t>
    </rPh>
    <rPh sb="3" eb="4">
      <t>メ</t>
    </rPh>
    <phoneticPr fontId="3"/>
  </si>
  <si>
    <t>お昼休み</t>
    <rPh sb="1" eb="3">
      <t>ヒルヤス</t>
    </rPh>
    <phoneticPr fontId="3"/>
  </si>
  <si>
    <t>スケジュール</t>
    <phoneticPr fontId="3"/>
  </si>
  <si>
    <t>オリエンテーション</t>
    <phoneticPr fontId="3"/>
  </si>
  <si>
    <t>講師の事前準備</t>
    <rPh sb="0" eb="2">
      <t>コウシ</t>
    </rPh>
    <rPh sb="3" eb="7">
      <t>ジゼンジュンビ</t>
    </rPh>
    <phoneticPr fontId="3"/>
  </si>
  <si>
    <t>章</t>
    <rPh sb="0" eb="1">
      <t>ショウ</t>
    </rPh>
    <phoneticPr fontId="3"/>
  </si>
  <si>
    <t>時間</t>
    <rPh sb="0" eb="2">
      <t>ジカン</t>
    </rPh>
    <phoneticPr fontId="3"/>
  </si>
  <si>
    <t>テーマ</t>
    <phoneticPr fontId="3"/>
  </si>
  <si>
    <t>主なポイント</t>
    <rPh sb="0" eb="1">
      <t>オモ</t>
    </rPh>
    <phoneticPr fontId="3"/>
  </si>
  <si>
    <t>アンケート</t>
    <phoneticPr fontId="3"/>
  </si>
  <si>
    <t>使用教材</t>
    <rPh sb="0" eb="2">
      <t>シヨウ</t>
    </rPh>
    <rPh sb="2" eb="4">
      <t>キョウザイ</t>
    </rPh>
    <phoneticPr fontId="3"/>
  </si>
  <si>
    <t>配布タイミング</t>
    <rPh sb="0" eb="2">
      <t>ハイフ</t>
    </rPh>
    <phoneticPr fontId="3"/>
  </si>
  <si>
    <t>科目修了条件</t>
    <rPh sb="0" eb="2">
      <t>カモク</t>
    </rPh>
    <rPh sb="2" eb="4">
      <t>シュウリョウ</t>
    </rPh>
    <rPh sb="4" eb="6">
      <t>ジョウケン</t>
    </rPh>
    <phoneticPr fontId="3"/>
  </si>
  <si>
    <t>ｐ</t>
    <phoneticPr fontId="3"/>
  </si>
  <si>
    <t>章の名称</t>
    <rPh sb="0" eb="1">
      <t>ショウ</t>
    </rPh>
    <rPh sb="2" eb="4">
      <t>メイショウ</t>
    </rPh>
    <phoneticPr fontId="3"/>
  </si>
  <si>
    <t>節の名称</t>
    <rPh sb="0" eb="1">
      <t>セツ</t>
    </rPh>
    <rPh sb="2" eb="4">
      <t>メイショウ</t>
    </rPh>
    <phoneticPr fontId="3"/>
  </si>
  <si>
    <t>番号</t>
    <rPh sb="0" eb="2">
      <t>バンゴウ</t>
    </rPh>
    <phoneticPr fontId="3"/>
  </si>
  <si>
    <t>使用教材</t>
    <phoneticPr fontId="3"/>
  </si>
  <si>
    <t>配布形式</t>
    <rPh sb="0" eb="2">
      <t>ハイフ</t>
    </rPh>
    <rPh sb="2" eb="4">
      <t>ケイシキ</t>
    </rPh>
    <phoneticPr fontId="3"/>
  </si>
  <si>
    <t>共通1</t>
    <rPh sb="0" eb="2">
      <t>キョウツウ</t>
    </rPh>
    <phoneticPr fontId="3"/>
  </si>
  <si>
    <t>電子</t>
    <rPh sb="0" eb="2">
      <t>デンシ</t>
    </rPh>
    <phoneticPr fontId="3"/>
  </si>
  <si>
    <t>－</t>
    <phoneticPr fontId="3"/>
  </si>
  <si>
    <t>講師用資料の保存先</t>
    <rPh sb="0" eb="2">
      <t>コウシ</t>
    </rPh>
    <rPh sb="2" eb="3">
      <t>ヨウ</t>
    </rPh>
    <rPh sb="3" eb="5">
      <t>シリョウ</t>
    </rPh>
    <rPh sb="6" eb="8">
      <t>ホゾン</t>
    </rPh>
    <rPh sb="8" eb="9">
      <t>サキ</t>
    </rPh>
    <phoneticPr fontId="3"/>
  </si>
  <si>
    <t>済</t>
    <rPh sb="0" eb="1">
      <t>スミ</t>
    </rPh>
    <phoneticPr fontId="3"/>
  </si>
  <si>
    <t>不要</t>
    <rPh sb="0" eb="2">
      <t>フヨウ</t>
    </rPh>
    <phoneticPr fontId="3"/>
  </si>
  <si>
    <t>環境</t>
    <rPh sb="0" eb="2">
      <t>カンキョウ</t>
    </rPh>
    <phoneticPr fontId="3"/>
  </si>
  <si>
    <t>○</t>
    <phoneticPr fontId="3"/>
  </si>
  <si>
    <t>可否</t>
    <rPh sb="0" eb="2">
      <t>カヒ</t>
    </rPh>
    <phoneticPr fontId="3"/>
  </si>
  <si>
    <t>講義</t>
    <rPh sb="0" eb="2">
      <t>コウギ</t>
    </rPh>
    <phoneticPr fontId="3"/>
  </si>
  <si>
    <t>特記イベント</t>
    <phoneticPr fontId="3"/>
  </si>
  <si>
    <t>○</t>
    <phoneticPr fontId="3"/>
  </si>
  <si>
    <t/>
  </si>
  <si>
    <t>研修ファイルサーバの保存先</t>
    <rPh sb="0" eb="2">
      <t>ケンシュウ</t>
    </rPh>
    <rPh sb="10" eb="12">
      <t>ホゾン</t>
    </rPh>
    <rPh sb="12" eb="13">
      <t>サキ</t>
    </rPh>
    <phoneticPr fontId="3"/>
  </si>
  <si>
    <t>－</t>
    <phoneticPr fontId="3"/>
  </si>
  <si>
    <t>実施上のの注意点</t>
    <rPh sb="0" eb="2">
      <t>ジッシ</t>
    </rPh>
    <rPh sb="2" eb="3">
      <t>ジョウ</t>
    </rPh>
    <rPh sb="5" eb="7">
      <t>チュウイ</t>
    </rPh>
    <rPh sb="7" eb="8">
      <t>テン</t>
    </rPh>
    <phoneticPr fontId="3"/>
  </si>
  <si>
    <t>共通</t>
    <rPh sb="0" eb="2">
      <t>キョウツウ</t>
    </rPh>
    <phoneticPr fontId="3"/>
  </si>
  <si>
    <t>実施上の注意点</t>
    <rPh sb="0" eb="2">
      <t>ジッシ</t>
    </rPh>
    <rPh sb="2" eb="3">
      <t>ジョウ</t>
    </rPh>
    <rPh sb="4" eb="6">
      <t>チュウイ</t>
    </rPh>
    <rPh sb="6" eb="7">
      <t>テン</t>
    </rPh>
    <phoneticPr fontId="3"/>
  </si>
  <si>
    <t>・アンケートの実施</t>
    <phoneticPr fontId="3"/>
  </si>
  <si>
    <t>オリエンテーション用資材</t>
    <rPh sb="9" eb="10">
      <t>ヨウ</t>
    </rPh>
    <rPh sb="10" eb="12">
      <t>シザイ</t>
    </rPh>
    <phoneticPr fontId="3"/>
  </si>
  <si>
    <t>【AI Native研修-バイブコーディング①】WebとDBとJavaとSpring.pptx</t>
    <phoneticPr fontId="3"/>
  </si>
  <si>
    <t>【AI Native研修-バイブコーディング③】単体テストとJUnit.pptx</t>
    <phoneticPr fontId="3"/>
  </si>
  <si>
    <t>【AI Native研修-バイブコーディング②】システム開発プロセス.pptx</t>
    <phoneticPr fontId="3"/>
  </si>
  <si>
    <t>【AI Native研修】GitHubCopilotのLLM選択についての説明.pptx</t>
    <phoneticPr fontId="3"/>
  </si>
  <si>
    <t>【AI Native研修】Gitについての説明.pptx</t>
    <phoneticPr fontId="3"/>
  </si>
  <si>
    <t>AI-01</t>
    <phoneticPr fontId="3"/>
  </si>
  <si>
    <t>AI-02</t>
    <phoneticPr fontId="3"/>
  </si>
  <si>
    <t>【AI Native研修】Gitについての補足資材.pptx</t>
    <rPh sb="21" eb="23">
      <t>ホソク</t>
    </rPh>
    <rPh sb="23" eb="25">
      <t>シザイ</t>
    </rPh>
    <phoneticPr fontId="3"/>
  </si>
  <si>
    <t>・AI-01</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</si>
  <si>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</si>
  <si>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</si>
  <si>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</si>
  <si>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</si>
  <si>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</si>
  <si>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</si>
  <si>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</si>
  <si>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</si>
  <si>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 xml:space="preserve">・AI-01
</t>
    <phoneticPr fontId="3"/>
  </si>
  <si>
    <t>✕</t>
    <phoneticPr fontId="3"/>
  </si>
  <si>
    <t>・教材のダウンロード
・本科目の概要説明
　科目の位置づけや目的、全体スケジュールの説明</t>
    <rPh sb="1" eb="3">
      <t>キョウザイ</t>
    </rPh>
    <phoneticPr fontId="3"/>
  </si>
  <si>
    <t xml:space="preserve">・共通1
</t>
    <rPh sb="1" eb="3">
      <t>キョウツウ</t>
    </rPh>
    <phoneticPr fontId="3"/>
  </si>
  <si>
    <t xml:space="preserve">・共通1
</t>
    <phoneticPr fontId="3"/>
  </si>
  <si>
    <t>予備</t>
    <rPh sb="0" eb="2">
      <t>ヨビ</t>
    </rPh>
    <phoneticPr fontId="3"/>
  </si>
  <si>
    <t>ゲームプレゼン</t>
    <phoneticPr fontId="3"/>
  </si>
  <si>
    <t>AI Native-バイブコーディング</t>
    <phoneticPr fontId="3"/>
  </si>
  <si>
    <t>講義の目的</t>
    <phoneticPr fontId="3"/>
  </si>
  <si>
    <t>Webアプリケーションとは</t>
  </si>
  <si>
    <t>Webアプリケーションとは</t>
    <phoneticPr fontId="3"/>
  </si>
  <si>
    <t>データベースとは</t>
    <phoneticPr fontId="3"/>
  </si>
  <si>
    <t>Java言語、Springフレームワークとは</t>
    <phoneticPr fontId="3"/>
  </si>
  <si>
    <t>Webアプリケーションの種類</t>
  </si>
  <si>
    <t>ブラウザからのリクエスト種類</t>
  </si>
  <si>
    <t>リレーショナルデータベース</t>
  </si>
  <si>
    <t>データベースの役割</t>
  </si>
  <si>
    <t>2.1.テーブル</t>
  </si>
  <si>
    <t>2.2.データ型１</t>
  </si>
  <si>
    <t>2.2.データ型２</t>
  </si>
  <si>
    <t>2.3.リレーション</t>
  </si>
  <si>
    <t>2.4.データを結合して取得（Join）</t>
  </si>
  <si>
    <t>Webアプリケーションを作成するためのプログラミング言語</t>
  </si>
  <si>
    <t>Java</t>
  </si>
  <si>
    <t>Java言語の構成要素</t>
  </si>
  <si>
    <t>Webアプリケーションを構成するクラス</t>
  </si>
  <si>
    <t>Nレイヤーアーキテクチャ</t>
  </si>
  <si>
    <t>View と Controller と Service と Repository</t>
  </si>
  <si>
    <t>Webアプリケーション フレームワーク</t>
  </si>
  <si>
    <t>Java向けWebアプリケーションフレームワーク</t>
  </si>
  <si>
    <t>Springフレームワーク</t>
  </si>
  <si>
    <t>Springフレームワーク：DIコンテナとは</t>
  </si>
  <si>
    <t>DIコンテナ：DIコンテナが部品を注入する</t>
  </si>
  <si>
    <t>DIコンテナ：DIコンテナによる部品と注入対象になるための目印</t>
  </si>
  <si>
    <t>Springフレームワークにおける部品の設定</t>
  </si>
  <si>
    <t>Spring Boot</t>
  </si>
  <si>
    <t>Spring Boot：オートコンフィグレーション</t>
  </si>
  <si>
    <t>Spring Boot：Starters</t>
  </si>
  <si>
    <t>Spring Boot：組込みWebAPサーバ</t>
  </si>
  <si>
    <t>おすすめ書籍：『プロになるためのSpring入門』</t>
  </si>
  <si>
    <t>アプリケーションとは</t>
    <phoneticPr fontId="3"/>
  </si>
  <si>
    <t>Web画面アプリケーション</t>
    <phoneticPr fontId="3"/>
  </si>
  <si>
    <t>【AI Native研修-バイブコーディング】演習課題1 JavaでECサイト APを作成.pptx</t>
    <phoneticPr fontId="3"/>
  </si>
  <si>
    <t>【AI Native研修-バイブコーディング】演習課題2 JUnitで単体テスト.pptx</t>
  </si>
  <si>
    <t>AI-03</t>
  </si>
  <si>
    <t>AI-04</t>
  </si>
  <si>
    <t>AI-05</t>
  </si>
  <si>
    <t>AI-06</t>
  </si>
  <si>
    <t>AI-07</t>
  </si>
  <si>
    <t>AI-08</t>
  </si>
  <si>
    <t>以下の内容を伝える。
これから以下の内容について説明します。
・Webアプリケーションの概要を理解する
・Webアプリケーションを開発する技術の概要を理解する
講義を聞くだけでなく、生成AIも積極的に活用してください。
分からない用語や仕組み、関連技術について生成AIに質問しながら学習することで、より理解を深めることができます。
生成AIを「答えを教えてもらうためのツール」ではなく、「理解を支援してくれる学習パートナー」として活用しながら受講してください。</t>
    <rPh sb="0" eb="2">
      <t>イカ</t>
    </rPh>
    <rPh sb="3" eb="5">
      <t>ナイヨウ</t>
    </rPh>
    <rPh sb="6" eb="7">
      <t>ツタ</t>
    </rPh>
    <phoneticPr fontId="3"/>
  </si>
  <si>
    <t xml:space="preserve">・AI-01
</t>
    <phoneticPr fontId="3"/>
  </si>
  <si>
    <t>以下の内容を詳細に説明する。
・クライアントとサーバー
・リクエストとレスポンス
クライアント：サービスを利用する側（利用者の端末やアプリケーション）
サーバー：サービスを提供する側（データや機能を管理するシステム）
リクエスト：クライアントからサーバーへの依頼
レスポンス：サーバーからクライアントへの応答
※AmazonなどのWebアプリケーションを例に挙げ、わかりやすさを重視した説明をしてください。</t>
    <rPh sb="0" eb="2">
      <t>イカ</t>
    </rPh>
    <rPh sb="3" eb="5">
      <t>ナイヨウ</t>
    </rPh>
    <rPh sb="6" eb="8">
      <t>ショウサイ</t>
    </rPh>
    <rPh sb="9" eb="11">
      <t>セツメイセツメイ</t>
    </rPh>
    <phoneticPr fontId="3"/>
  </si>
  <si>
    <t>「Web画面アプリケーション」、「WebAPIアプリケーション」について、以下の観点を説明する。
・利用者と利用方法
・構成
・レスポンス
・具体例</t>
    <rPh sb="37" eb="39">
      <t>イカ</t>
    </rPh>
    <rPh sb="40" eb="42">
      <t>カンテン</t>
    </rPh>
    <rPh sb="43" eb="45">
      <t>セツメイ</t>
    </rPh>
    <phoneticPr fontId="3"/>
  </si>
  <si>
    <t xml:space="preserve">図を中心にアプリケーションとハードウェアとの関係を説明する。
アプリケーションとは、「特定の作業を行うために開発されたソフトウェアプログラム」のこと
</t>
    <rPh sb="22" eb="24">
      <t>カンケイ</t>
    </rPh>
    <phoneticPr fontId="3"/>
  </si>
  <si>
    <t>図を中心に以下の用語を説明する。
・ブラウザ
・HTML
※ここではレスポンスの話が中心</t>
    <rPh sb="5" eb="7">
      <t>イカ</t>
    </rPh>
    <rPh sb="8" eb="10">
      <t>ヨウゴ</t>
    </rPh>
    <rPh sb="11" eb="13">
      <t>セツメイ</t>
    </rPh>
    <rPh sb="40" eb="41">
      <t>ハナシ</t>
    </rPh>
    <rPh sb="42" eb="44">
      <t>チュウシン</t>
    </rPh>
    <phoneticPr fontId="3"/>
  </si>
  <si>
    <t>ブラウザのデバッガでレスポンスを確認するデモを見せる。
※レスポンスボディのHTMLを確認する</t>
    <rPh sb="16" eb="18">
      <t>カクニン</t>
    </rPh>
    <rPh sb="23" eb="24">
      <t>ミ</t>
    </rPh>
    <rPh sb="43" eb="45">
      <t>カクニン</t>
    </rPh>
    <phoneticPr fontId="3"/>
  </si>
  <si>
    <t xml:space="preserve">HTTPメソッドとは、「クライアントがサーバーに対して何をしたいのか」を表す種類のこと
・GET:データの取得が目的
・POST：データの送信が目的
・PUT：データの更新が目的
・DELETE：データの削除が目的
※データ構造の説明は不要です。
</t>
    <rPh sb="54" eb="56">
      <t>シュトク</t>
    </rPh>
    <rPh sb="57" eb="59">
      <t>モクテキ</t>
    </rPh>
    <rPh sb="70" eb="72">
      <t>ソウシン</t>
    </rPh>
    <rPh sb="73" eb="75">
      <t>モクテキ</t>
    </rPh>
    <rPh sb="85" eb="87">
      <t>コウシン</t>
    </rPh>
    <rPh sb="88" eb="90">
      <t>モクテキ</t>
    </rPh>
    <rPh sb="103" eb="105">
      <t>サクジョ</t>
    </rPh>
    <rPh sb="106" eb="108">
      <t>モクテキ</t>
    </rPh>
    <rPh sb="114" eb="116">
      <t>コウゾウ</t>
    </rPh>
    <rPh sb="117" eb="119">
      <t>セツメイ</t>
    </rPh>
    <rPh sb="120" eb="122">
      <t>フヨウ</t>
    </rPh>
    <phoneticPr fontId="3"/>
  </si>
  <si>
    <r>
      <t xml:space="preserve">データベースとは、「データベースとは、データを効率的に保存・管理し、検索や更新を容易に行うために整理された情報の集まり」のこと
本研修では、「リレーショナルデータベース」を利用することを伝える。
</t>
    </r>
    <r>
      <rPr>
        <sz val="9"/>
        <color rgb="FFFF0000"/>
        <rFont val="Meiryo UI"/>
        <family val="3"/>
        <charset val="128"/>
      </rPr>
      <t>※データベースの形態の表があるが分類の粒度が不適切なので、サラッとながす。</t>
    </r>
    <rPh sb="65" eb="68">
      <t>ホンケンシュウ</t>
    </rPh>
    <rPh sb="87" eb="89">
      <t>リヨウ</t>
    </rPh>
    <rPh sb="94" eb="95">
      <t>ツタ</t>
    </rPh>
    <rPh sb="108" eb="110">
      <t>ケイタイ</t>
    </rPh>
    <rPh sb="111" eb="112">
      <t>ヒョウ</t>
    </rPh>
    <rPh sb="116" eb="118">
      <t>ブンルイ</t>
    </rPh>
    <rPh sb="119" eb="121">
      <t>リュウド</t>
    </rPh>
    <rPh sb="122" eb="125">
      <t>フテキセツ</t>
    </rPh>
    <phoneticPr fontId="3"/>
  </si>
  <si>
    <t xml:space="preserve">以下の概要を説明する。
・テーブル：関連するデータを表形式でまとめたもの
・行：1件分のデータ（横方向）
・列：データの項目（縦方向）
・関係：テーブル同士のつながり
・SQL：テーブルを操作するための言語
</t>
    <rPh sb="3" eb="5">
      <t>ガイヨウ</t>
    </rPh>
    <rPh sb="6" eb="8">
      <t>セツメイ</t>
    </rPh>
    <rPh sb="38" eb="39">
      <t>ギョウ</t>
    </rPh>
    <rPh sb="48" eb="49">
      <t>ヨコ</t>
    </rPh>
    <rPh sb="49" eb="51">
      <t>ホウコウ</t>
    </rPh>
    <rPh sb="54" eb="55">
      <t>レツ</t>
    </rPh>
    <rPh sb="63" eb="64">
      <t>タテ</t>
    </rPh>
    <rPh sb="69" eb="71">
      <t>カンケイ</t>
    </rPh>
    <rPh sb="94" eb="96">
      <t>ソウサ</t>
    </rPh>
    <rPh sb="101" eb="103">
      <t>ゲンゴ</t>
    </rPh>
    <phoneticPr fontId="3"/>
  </si>
  <si>
    <t>データの管理が主体であることを説明する。</t>
    <rPh sb="4" eb="6">
      <t>カンリ</t>
    </rPh>
    <rPh sb="7" eb="9">
      <t>シュタイ</t>
    </rPh>
    <rPh sb="15" eb="17">
      <t>セツメイ</t>
    </rPh>
    <phoneticPr fontId="3"/>
  </si>
  <si>
    <t xml:space="preserve">以下の概要を説明する。
・テーブル：Excelのシート
・レコード：Excelの行
・カラム：Excelの列
・フィールド：Excelのセル
</t>
    <rPh sb="38" eb="39">
      <t>ギョウ</t>
    </rPh>
    <rPh sb="51" eb="52">
      <t>レツ</t>
    </rPh>
    <phoneticPr fontId="3"/>
  </si>
  <si>
    <t>データ型とは、「データの性質や範囲などを定義する制約」のこと
データ型の種類
・数値型
・文字列型
・日付型
・バイナリデータ型　etc.</t>
    <rPh sb="24" eb="26">
      <t>セイヤク</t>
    </rPh>
    <phoneticPr fontId="3"/>
  </si>
  <si>
    <r>
      <t xml:space="preserve">データベースの種類によって異なることを説明する。
</t>
    </r>
    <r>
      <rPr>
        <sz val="9"/>
        <color rgb="FFFF0000"/>
        <rFont val="Meiryo UI"/>
        <family val="3"/>
        <charset val="128"/>
      </rPr>
      <t>※今回はH2DBなので細かい説明は不要。</t>
    </r>
    <rPh sb="7" eb="9">
      <t>シュルイ</t>
    </rPh>
    <rPh sb="13" eb="14">
      <t>コト</t>
    </rPh>
    <rPh sb="19" eb="21">
      <t>セツメイ</t>
    </rPh>
    <rPh sb="26" eb="28">
      <t>コンカイ</t>
    </rPh>
    <rPh sb="36" eb="37">
      <t>コマ</t>
    </rPh>
    <rPh sb="39" eb="41">
      <t>セツメイ</t>
    </rPh>
    <rPh sb="42" eb="44">
      <t>フヨウ</t>
    </rPh>
    <phoneticPr fontId="3"/>
  </si>
  <si>
    <r>
      <rPr>
        <sz val="9"/>
        <color rgb="FFFF0000"/>
        <rFont val="Meiryo UI"/>
        <family val="3"/>
        <charset val="128"/>
      </rPr>
      <t xml:space="preserve">リレーション＝リレーションシップという意味として説明する。
</t>
    </r>
    <r>
      <rPr>
        <sz val="9"/>
        <color theme="1"/>
        <rFont val="Meiryo UI"/>
        <family val="3"/>
        <charset val="128"/>
      </rPr>
      <t>リレーションとは、「テーブル同士の関連」のこと</t>
    </r>
    <rPh sb="19" eb="21">
      <t>イミ</t>
    </rPh>
    <rPh sb="24" eb="26">
      <t>セツメイ</t>
    </rPh>
    <rPh sb="44" eb="46">
      <t>ドウシ</t>
    </rPh>
    <rPh sb="47" eb="49">
      <t>カンレン</t>
    </rPh>
    <phoneticPr fontId="3"/>
  </si>
  <si>
    <t>結合（JOIN）とは、「関連するデータを組み合わせて取得する」こと
例）赤、青</t>
    <rPh sb="34" eb="35">
      <t>レイ</t>
    </rPh>
    <rPh sb="36" eb="37">
      <t>アカ</t>
    </rPh>
    <rPh sb="38" eb="39">
      <t>アオ</t>
    </rPh>
    <phoneticPr fontId="3"/>
  </si>
  <si>
    <r>
      <t xml:space="preserve">Javaの選定理由を説明する。
・言語自体の処理性能が優れており、大規模Webアプリケーション開発に適している
・NTTデータにおけるシステム開発で広く使われているため
・世界的に開発者数、使用数が多いため
</t>
    </r>
    <r>
      <rPr>
        <sz val="9"/>
        <color rgb="FFFF0000"/>
        <rFont val="Meiryo UI"/>
        <family val="3"/>
        <charset val="128"/>
      </rPr>
      <t>※ナレッジが多い言語を使った方が生成AIとの相性が良い。</t>
    </r>
    <rPh sb="5" eb="7">
      <t>センテイ</t>
    </rPh>
    <rPh sb="7" eb="9">
      <t>リユウ</t>
    </rPh>
    <rPh sb="10" eb="12">
      <t>セツメイ</t>
    </rPh>
    <rPh sb="111" eb="112">
      <t>オオ</t>
    </rPh>
    <rPh sb="113" eb="115">
      <t>ゲンゴ</t>
    </rPh>
    <rPh sb="116" eb="117">
      <t>ツカ</t>
    </rPh>
    <rPh sb="119" eb="120">
      <t>ホウ</t>
    </rPh>
    <rPh sb="121" eb="123">
      <t>セイセイ</t>
    </rPh>
    <rPh sb="127" eb="129">
      <t>アイショウ</t>
    </rPh>
    <rPh sb="130" eb="131">
      <t>ヨ</t>
    </rPh>
    <phoneticPr fontId="3"/>
  </si>
  <si>
    <t>言語の特徴を説明する。
・コンパイルが必要な言語
・JVM（Java Virtual Machine）
・難しかったメモリ管理が不要
・オブジェクト指向をもとにしたオブジェクト指向プログラミングをサポート</t>
    <rPh sb="0" eb="2">
      <t>ゲンゴ</t>
    </rPh>
    <rPh sb="3" eb="5">
      <t>トクチョウ</t>
    </rPh>
    <rPh sb="6" eb="8">
      <t>セツメイ</t>
    </rPh>
    <phoneticPr fontId="3"/>
  </si>
  <si>
    <t>各要素の関係が理解できるように説明する。
・Jarファイル
・パッケージ
・クラス
・メソッド</t>
    <rPh sb="0" eb="1">
      <t>カク</t>
    </rPh>
    <rPh sb="1" eb="3">
      <t>ヨウソ</t>
    </rPh>
    <rPh sb="4" eb="6">
      <t>カンケイ</t>
    </rPh>
    <rPh sb="7" eb="9">
      <t>リカイ</t>
    </rPh>
    <rPh sb="15" eb="17">
      <t>セツメイ</t>
    </rPh>
    <phoneticPr fontId="3"/>
  </si>
  <si>
    <r>
      <t xml:space="preserve">各コンポーネント間の関連を説明する。
</t>
    </r>
    <r>
      <rPr>
        <sz val="9"/>
        <color rgb="FFFF0000"/>
        <rFont val="Meiryo UI"/>
        <family val="3"/>
        <charset val="128"/>
      </rPr>
      <t>※MVCについては触れない方が良い。
※受講生は新入社員研修では触れていない可能性が高い。</t>
    </r>
    <rPh sb="0" eb="1">
      <t>カク</t>
    </rPh>
    <rPh sb="8" eb="9">
      <t>カン</t>
    </rPh>
    <rPh sb="10" eb="12">
      <t>カンレン</t>
    </rPh>
    <rPh sb="13" eb="15">
      <t>セツメイ</t>
    </rPh>
    <rPh sb="28" eb="29">
      <t>フ</t>
    </rPh>
    <rPh sb="32" eb="33">
      <t>ホウ</t>
    </rPh>
    <rPh sb="34" eb="35">
      <t>ヨ</t>
    </rPh>
    <rPh sb="39" eb="42">
      <t>ジュコウセイ</t>
    </rPh>
    <rPh sb="43" eb="49">
      <t>シンニュウシャインケンシュウ</t>
    </rPh>
    <rPh sb="51" eb="52">
      <t>フ</t>
    </rPh>
    <rPh sb="57" eb="60">
      <t>カノウセイ</t>
    </rPh>
    <rPh sb="61" eb="62">
      <t>タカ</t>
    </rPh>
    <phoneticPr fontId="3"/>
  </si>
  <si>
    <t>※アニメーション</t>
    <phoneticPr fontId="3"/>
  </si>
  <si>
    <t>階層(レイヤー)に役割を分けて、アプリケーションを構築することを説明する。
▮役所の住民票異動
・申請様式用紙：入出力
・窓口：受付・担当を決める役割
・住民課：具体的に業務を行う役割
・書類棚：住民情報を保管・取得・更新する役割</t>
    <rPh sb="12" eb="13">
      <t>ワ</t>
    </rPh>
    <rPh sb="25" eb="27">
      <t>コウチク</t>
    </rPh>
    <rPh sb="32" eb="34">
      <t>セツメイ</t>
    </rPh>
    <rPh sb="56" eb="59">
      <t>ニュウシュツリョク</t>
    </rPh>
    <phoneticPr fontId="3"/>
  </si>
  <si>
    <t>・View（申請様式用紙）
　住民票異動の申請書に必要事項を記入し、結果を受け取ります。
　※Webアプリケーションでは、ユーザーが操作する画面に相当します。
・Controller（窓口）
　窓口は申請内容を受け取り、住民票異動の申請なのか、戸籍関係の申請なのか、を判断して担当部署へ渡します。
　※Webアプリケーションでは、リクエストを受け取り適切な処理へ振り分けます。
・Service（住民課）
　住民課は、住所変更を行う、内容を確認する、必要な手続きを実施するなどの業務を行います。
　※Webアプリケーションでは、業務ルールや業務処理を担当します。
Repository（書類棚）
　書類棚から住民情報を取り出したり、更新後の情報を保管したりします。
　※Webアプリケーションでは、データベースの検索・登録・更新・削除を担当します。</t>
    <phoneticPr fontId="3"/>
  </si>
  <si>
    <t xml:space="preserve">・AI-01
</t>
    <phoneticPr fontId="3"/>
  </si>
  <si>
    <t>本研修におけるModelとは、「各レイヤー間でデータを受け渡す役割の総称」のこと。
※役割や利用するレイヤーによって、Form、ViewModel、Model、Entity など異なる名称で呼ばれる。</t>
    <phoneticPr fontId="3"/>
  </si>
  <si>
    <t>フレームワークとは、「アプリケーション開発を効率化するために、よく利用される機能や仕組みをあらかじめ提供しているソフトウェア」のこと。
Webアプリケーション開発では、
・HTTPリクエストを受け取る
・データを埋め込んだHTMLを生成する
・データベースと連携する
などの機能がフレームワークによって提供されているため、開発者は業務に必要な部分の実装に集中することができる。
開発者は、フレームワークが用意したルールや構造に従うことで、効率的にアプリケーションを開発できる。</t>
    <phoneticPr fontId="3"/>
  </si>
  <si>
    <t xml:space="preserve">・AI-01
</t>
    <phoneticPr fontId="3"/>
  </si>
  <si>
    <t>Javaで開発するWebアプリケーションフレームワークは複数あるが、Springフレームワークの一強になっている。</t>
    <phoneticPr fontId="3"/>
  </si>
  <si>
    <t>Springフレームワークとは、「Java向けの包括的なアプリケーションフレームワーク」のこと。
Springには様々な機能が用意されており、主なものとして以下がある。
Spring Framework：DIコンテナやAOPなど、Springの基本機能を提供する
Spring MVC：MVCモデルによるWebアプリケーション開発を支援する
Spring Security：認証・認可などのセキュリティ機能を提供する
Spring Batch：大量データを効率的に処理するためのバッチ機能を提供する
Spring Boot：Springアプリケーションを簡単に構築・実行するための機能を提供する（詳細は後述）
TERASOLUNAフレームワークは、「Springをベースとして、日本企業の業務システム開発に適した開発ガイドラインやベストプラクティスを整備したフレームワーク」のことである。
Springが提供する機能に加え、設計方針や実装ルールを統一することで、品質の高い業務システムを効率的に開発できるようにしている。</t>
    <phoneticPr fontId="3"/>
  </si>
  <si>
    <t xml:space="preserve">・AI-01
</t>
    <phoneticPr fontId="3"/>
  </si>
  <si>
    <t>DIコンテナとは、「プログラムで利用する部品を自動的に準備し、必要なクラスへ渡してくれる仕組みを持つソフトウェア」のこと。
あらかじめ役割ごとの部品を用意しておき、DIコンテナが必要なタイミングで適切に組み合わせて利用する。
※DI：ある部品が必要とする別の部品を外部から渡してもらう仕組み
※DIコンテナ：その仕組みを実現するためのソフトウェア</t>
    <rPh sb="48" eb="49">
      <t>モ</t>
    </rPh>
    <phoneticPr fontId="3"/>
  </si>
  <si>
    <t>インジェクションの例とアノテーションを説明する。</t>
    <rPh sb="9" eb="10">
      <t>レイ</t>
    </rPh>
    <rPh sb="19" eb="21">
      <t>セツメイ</t>
    </rPh>
    <phoneticPr fontId="3"/>
  </si>
  <si>
    <t>コンテナ管理対象として登録するためのアノテーション：管理対象の部品
@Controller
@Service
@Repository/@Mapper
インジェクション（DI）を利用するためのアノテーション：部品の注入
@Autowire</t>
    <phoneticPr fontId="3"/>
  </si>
  <si>
    <t>全体設定の内容を説明する。
JavaConfig：JavaコードでDIコンテナの設定を行う方式
XML：XMLファイルでDIコンテナの設定を行う方式
@Bean：JavaConfigでDIコンテナの管理対象（Bean）を登録するためのアノテーション
※@Serviceや@Repositoryなどの登録用アノテーションを付与できない場合（コードの修正が不可能）に利用する。</t>
    <rPh sb="0" eb="2">
      <t>ゼンタイ</t>
    </rPh>
    <rPh sb="2" eb="4">
      <t>セッテイ</t>
    </rPh>
    <rPh sb="5" eb="7">
      <t>ナイヨウ</t>
    </rPh>
    <rPh sb="8" eb="10">
      <t>セツメイ</t>
    </rPh>
    <rPh sb="174" eb="176">
      <t>シュウセイ</t>
    </rPh>
    <rPh sb="177" eb="180">
      <t>フカノウ</t>
    </rPh>
    <phoneticPr fontId="3"/>
  </si>
  <si>
    <t>SpringBootとは、「Springアプリケーションを簡単に構築・実行するための機能を提供するフレームワーク」のこと。</t>
    <phoneticPr fontId="3"/>
  </si>
  <si>
    <t>Spring Bootを利用すると、Spring Frameworkで必要だった多くの設定が自動化されるため、開発者は設定作業を大幅に削減できる。
ただし、独自のBeanを登録する場合など、一部のケースではJavaConfigを利用して設定を行う。</t>
    <phoneticPr fontId="3"/>
  </si>
  <si>
    <t>Starterとは、「特定の機能を利用するために必要なライブラリ群をまとめて提供する仕組み」のこと。
Webアプリケーション開発に必要なライブラリがまとめて導入することができる。</t>
    <phoneticPr fontId="3"/>
  </si>
  <si>
    <t>組込みWebAPサーバとは、「アプリケーション内に組み込まれたWebアプリケーションサーバ」のこと。
Spring Bootでは、Webアプリケーションを実行するために必要なWebAPサーバ（Tomcatなど）があらかじめ組み込まれているため、開発者が別途サーバをインストールしたり設定したりする必要がない。
war ⇒　jar</t>
    <phoneticPr fontId="3"/>
  </si>
  <si>
    <t>作成物</t>
  </si>
  <si>
    <t>演習課題の進め方</t>
  </si>
  <si>
    <t>前提条件</t>
  </si>
  <si>
    <t>Spring Bootプロジェクトの準備</t>
  </si>
  <si>
    <t>（補足）Spring Bootプロジェクトの準備</t>
  </si>
  <si>
    <t>Spring Bootアプリケーションの起動確認</t>
  </si>
  <si>
    <t>ECサイト Webアプリの要件</t>
  </si>
  <si>
    <t>ECサイト Webアプリの要件 – はじめに</t>
  </si>
  <si>
    <t>ECサイト Webアプリの要件➊ 画面</t>
  </si>
  <si>
    <t>ECサイト Webアプリの要件➋ 機能</t>
  </si>
  <si>
    <t>ECサイト Webアプリの要件➌ 画面遷移</t>
  </si>
  <si>
    <t>ECサイト Webアプリの要件❺ 初期データ</t>
  </si>
  <si>
    <t>ECサイト Webアプリの要件❻ ディレクトリ構成</t>
  </si>
  <si>
    <t>ECサイト Webアプリの要件❼ パッケージ構成</t>
  </si>
  <si>
    <t>ECサイト Webアプリの要件❽ リソース構成</t>
  </si>
  <si>
    <t>バイブコーディング – はじめに</t>
  </si>
  <si>
    <t>[構造理解] Webアプリケーションで必要なもの</t>
  </si>
  <si>
    <t>バイブコーディング➊ 画面モックアップを作ってデザインを決める</t>
  </si>
  <si>
    <t>バイブコーディング➋ データベースのテーブルを準備する</t>
  </si>
  <si>
    <t>バイブコーディング➌ データベースのデータを準備する</t>
  </si>
  <si>
    <t>バイブコーディング❹ データベース処理とビジネスロジックを作る</t>
  </si>
  <si>
    <t>[解説] RepositoryクラスとSQLの例（抜粋）</t>
  </si>
  <si>
    <t>[解説] Entity/Modelクラスの例（抜粋）</t>
  </si>
  <si>
    <t>[解説] Serviceクラスの例（抜粋）</t>
  </si>
  <si>
    <t>バイブコーディング❺ モックアップをもとに画面表示/処理を作る</t>
  </si>
  <si>
    <t>[解説] Controllerクラスの例（抜粋）</t>
  </si>
  <si>
    <t>[解説] Formクラスの例（抜粋）</t>
  </si>
  <si>
    <t>バイブコーディング❻ 動作を確認する</t>
  </si>
  <si>
    <t>ここから各自で演習を始めましょう。</t>
  </si>
  <si>
    <t>Gitとは</t>
  </si>
  <si>
    <t>Gitの基本的な流れ</t>
  </si>
  <si>
    <t>VS Code上でGitを使う手順-2 【リポジトリの初期化】</t>
  </si>
  <si>
    <t>VS Code上でGitを使う手順-3 【最初のcommit】</t>
  </si>
  <si>
    <t>VS Code上でGitを使う手順-4 【2回目以降のコミット】</t>
  </si>
  <si>
    <t>VS Code上でGitを使う手順-5 【過去のcommitの確認】</t>
  </si>
  <si>
    <t>VS Code上でGitを使う手順-6 【過去の状態に戻す】</t>
  </si>
  <si>
    <t>導入</t>
    <rPh sb="0" eb="2">
      <t>ドウニュウ</t>
    </rPh>
    <phoneticPr fontId="3"/>
  </si>
  <si>
    <t>Spring Bootプロジェクトの_x000B_準備、起動確認</t>
    <phoneticPr fontId="3"/>
  </si>
  <si>
    <t>Gitとは</t>
    <phoneticPr fontId="3"/>
  </si>
  <si>
    <t>VS Code上でGitを使う手順-1 【ユーザ名等の登録】</t>
    <phoneticPr fontId="3"/>
  </si>
  <si>
    <t>VS Code上でGitを使う手順</t>
    <phoneticPr fontId="3"/>
  </si>
  <si>
    <t>演習課題の概要</t>
    <phoneticPr fontId="3"/>
  </si>
  <si>
    <t>課題1について説明する。
※課題2は別紙なので今は気にしないことを伝える。</t>
    <rPh sb="0" eb="2">
      <t>カダイ</t>
    </rPh>
    <rPh sb="7" eb="9">
      <t>セツメイ</t>
    </rPh>
    <rPh sb="14" eb="16">
      <t>カダイ</t>
    </rPh>
    <rPh sb="18" eb="20">
      <t>ベッシ</t>
    </rPh>
    <rPh sb="23" eb="24">
      <t>イマ</t>
    </rPh>
    <rPh sb="25" eb="26">
      <t>キ</t>
    </rPh>
    <rPh sb="33" eb="34">
      <t>ツタ</t>
    </rPh>
    <phoneticPr fontId="3"/>
  </si>
  <si>
    <t xml:space="preserve">ECサイトをWebアプリケーションとして作成することを説明する。
※イベント（注文の流れ）を説明する。
</t>
    <rPh sb="20" eb="22">
      <t>サクセイ</t>
    </rPh>
    <rPh sb="27" eb="29">
      <t>セツメイ</t>
    </rPh>
    <rPh sb="39" eb="41">
      <t>チュウモン</t>
    </rPh>
    <rPh sb="42" eb="43">
      <t>ナガ</t>
    </rPh>
    <rPh sb="46" eb="48">
      <t>セツメイ</t>
    </rPh>
    <phoneticPr fontId="3"/>
  </si>
  <si>
    <t>本演習は、以下の順で実施することを説明する。
①Spring Bootプロジェクトの準備、起動確認
②ECサイト Webアプリの要件
③バイブコーディング演習</t>
    <rPh sb="0" eb="1">
      <t>ホン</t>
    </rPh>
    <rPh sb="1" eb="3">
      <t>エンシュウ</t>
    </rPh>
    <rPh sb="5" eb="7">
      <t>イカ</t>
    </rPh>
    <rPh sb="8" eb="9">
      <t>ジュン</t>
    </rPh>
    <rPh sb="10" eb="12">
      <t>ジッシ</t>
    </rPh>
    <rPh sb="17" eb="19">
      <t>セツメイ</t>
    </rPh>
    <phoneticPr fontId="3"/>
  </si>
  <si>
    <r>
      <t xml:space="preserve">VSコードでプロジェクトを開く。
</t>
    </r>
    <r>
      <rPr>
        <sz val="9"/>
        <color rgb="FFFF0000"/>
        <rFont val="Meiryo UI"/>
        <family val="3"/>
        <charset val="128"/>
      </rPr>
      <t>※ハンズオンとして実施する。</t>
    </r>
    <rPh sb="13" eb="14">
      <t>ヒラ</t>
    </rPh>
    <rPh sb="26" eb="28">
      <t>ジッシ</t>
    </rPh>
    <phoneticPr fontId="3"/>
  </si>
  <si>
    <t>割愛する。</t>
    <rPh sb="0" eb="2">
      <t>カツアイ</t>
    </rPh>
    <phoneticPr fontId="3"/>
  </si>
  <si>
    <t>Webアプリケーションの要件を説明する。
・ビジネスルール（本演習で行うこと）
・禁止事項（本演習で行わないこと）</t>
    <rPh sb="15" eb="17">
      <t>セツメイ</t>
    </rPh>
    <rPh sb="30" eb="31">
      <t>ホン</t>
    </rPh>
    <rPh sb="31" eb="33">
      <t>エンシュウ</t>
    </rPh>
    <rPh sb="34" eb="35">
      <t>オコナ</t>
    </rPh>
    <rPh sb="46" eb="47">
      <t>ホン</t>
    </rPh>
    <rPh sb="50" eb="51">
      <t>オコナ</t>
    </rPh>
    <phoneticPr fontId="3"/>
  </si>
  <si>
    <t>[解説] Thymeleafテンプレートの例（抜粋）</t>
    <phoneticPr fontId="3"/>
  </si>
  <si>
    <t xml:space="preserve">・AI-01
</t>
    <phoneticPr fontId="3"/>
  </si>
  <si>
    <r>
      <t xml:space="preserve">本演習で作成する画面（仕様）の一覧は、以下であること説明する。
・商品一覧画面：products.html
・商品詳細画面：products-detail.html
・カート画面：cart.html
・注文確認画面：order-confirm.html
・注文完了画面：order-complete.html
以下の仕様に従って実装する必要があることを伝える。
・テンプレート＝Thymeleafテンプレート
・概要
</t>
    </r>
    <r>
      <rPr>
        <sz val="9"/>
        <color rgb="FFFF0000"/>
        <rFont val="Meiryo UI"/>
        <family val="3"/>
        <charset val="128"/>
      </rPr>
      <t>※プロンプトに記載が必要。</t>
    </r>
    <rPh sb="0" eb="1">
      <t>ホン</t>
    </rPh>
    <rPh sb="1" eb="3">
      <t>エンシュウ</t>
    </rPh>
    <rPh sb="4" eb="6">
      <t>サクセイ</t>
    </rPh>
    <rPh sb="8" eb="10">
      <t>ガメン</t>
    </rPh>
    <rPh sb="15" eb="17">
      <t>イチラン</t>
    </rPh>
    <rPh sb="19" eb="21">
      <t>イカ</t>
    </rPh>
    <rPh sb="26" eb="28">
      <t>セツメイ</t>
    </rPh>
    <rPh sb="207" eb="209">
      <t>ガイヨウ</t>
    </rPh>
    <phoneticPr fontId="3"/>
  </si>
  <si>
    <r>
      <t xml:space="preserve">本演習で作成する機能（仕様）の一覧は、以下であること説明する。
・商品一覧表示
・商品詳細表示
・カート追加
・カート画面表示
・カート数量更新
・カート削除
・注文確認画面表示
・注文確定
・注文完了画面表示
以下の仕様に従って実装する必要があることを伝える。
・URLパス
・フォーム入力項目
・表示内容/遷移先
</t>
    </r>
    <r>
      <rPr>
        <sz val="9"/>
        <color rgb="FFFF0000"/>
        <rFont val="Meiryo UI"/>
        <family val="3"/>
        <charset val="128"/>
      </rPr>
      <t>※プロンプトに記載が必要。</t>
    </r>
    <rPh sb="8" eb="10">
      <t>キノウ</t>
    </rPh>
    <rPh sb="15" eb="17">
      <t>イチラン</t>
    </rPh>
    <rPh sb="128" eb="129">
      <t>ツタ</t>
    </rPh>
    <rPh sb="167" eb="169">
      <t>キサイ</t>
    </rPh>
    <rPh sb="170" eb="172">
      <t>ヒツヨウ</t>
    </rPh>
    <phoneticPr fontId="3"/>
  </si>
  <si>
    <r>
      <t xml:space="preserve">本演習で作成するイベント名（仕様）の一覧は、以下であること説明する。
・ボタン名
・リンク名
</t>
    </r>
    <r>
      <rPr>
        <sz val="9"/>
        <color rgb="FFFF0000"/>
        <rFont val="Meiryo UI"/>
        <family val="3"/>
        <charset val="128"/>
      </rPr>
      <t>※プロンプトに記載が必要。</t>
    </r>
    <rPh sb="12" eb="13">
      <t>メイ</t>
    </rPh>
    <rPh sb="18" eb="20">
      <t>イチラン</t>
    </rPh>
    <rPh sb="50" eb="51">
      <t>メイ</t>
    </rPh>
    <rPh sb="56" eb="57">
      <t>メイ</t>
    </rPh>
    <phoneticPr fontId="3"/>
  </si>
  <si>
    <t>ECサイト Webアプリの要件❹ データ設計</t>
    <phoneticPr fontId="3"/>
  </si>
  <si>
    <r>
      <t xml:space="preserve">本演習で作成するテーブル（仕様）の一覧は、以下であること説明する。
・products
・cart_items
・orders
・order_items
以下の仕様に従って実装する必要があることを伝える。
・テーブル名
・項目名
・SQL型（データ型）
・制約・形式
</t>
    </r>
    <r>
      <rPr>
        <sz val="9"/>
        <color rgb="FFFF0000"/>
        <rFont val="Meiryo UI"/>
        <family val="3"/>
        <charset val="128"/>
      </rPr>
      <t>※プロンプトに記載が必要。</t>
    </r>
    <rPh sb="17" eb="19">
      <t>イチラン</t>
    </rPh>
    <rPh sb="109" eb="110">
      <t>メイ</t>
    </rPh>
    <rPh sb="120" eb="121">
      <t>ガタ</t>
    </rPh>
    <rPh sb="125" eb="126">
      <t>ガタキサイヒツヨウ</t>
    </rPh>
    <phoneticPr fontId="3"/>
  </si>
  <si>
    <r>
      <t xml:space="preserve">本演習で作成するproductsテーブルの初期データ（仕様）を説明する。
※imageUrlにはプロジェクト内のパスの一部
</t>
    </r>
    <r>
      <rPr>
        <sz val="9"/>
        <color rgb="FFFF0000"/>
        <rFont val="Meiryo UI"/>
        <family val="3"/>
        <charset val="128"/>
      </rPr>
      <t>※プロンプトに記載が必要。</t>
    </r>
    <rPh sb="21" eb="23">
      <t>ショキ</t>
    </rPh>
    <rPh sb="54" eb="55">
      <t>ナイ</t>
    </rPh>
    <rPh sb="59" eb="61">
      <t>イチブ</t>
    </rPh>
    <phoneticPr fontId="3"/>
  </si>
  <si>
    <t>本演習で利用するプロジェクトのディレクトリ構成を説明する。
※SpringBootで作成した。</t>
    <rPh sb="0" eb="1">
      <t>ホン</t>
    </rPh>
    <rPh sb="1" eb="3">
      <t>エンシュウ</t>
    </rPh>
    <rPh sb="4" eb="6">
      <t>リヨウ</t>
    </rPh>
    <rPh sb="21" eb="23">
      <t>コウセイ</t>
    </rPh>
    <rPh sb="24" eb="26">
      <t>セツメイ</t>
    </rPh>
    <rPh sb="42" eb="44">
      <t>サクセイ</t>
    </rPh>
    <phoneticPr fontId="3"/>
  </si>
  <si>
    <t>本演習で利用するプロジェクトのリソース構成（ファイル込み）を説明する。
※サンプルとして説明する。</t>
    <rPh sb="0" eb="1">
      <t>ホン</t>
    </rPh>
    <rPh sb="1" eb="3">
      <t>エンシュウ</t>
    </rPh>
    <rPh sb="4" eb="6">
      <t>リヨウ</t>
    </rPh>
    <rPh sb="19" eb="21">
      <t>コウセイ</t>
    </rPh>
    <rPh sb="26" eb="27">
      <t>コ</t>
    </rPh>
    <rPh sb="30" eb="32">
      <t>セツメイ</t>
    </rPh>
    <rPh sb="44" eb="46">
      <t>セツメイ</t>
    </rPh>
    <phoneticPr fontId="3"/>
  </si>
  <si>
    <t>本演習で利用するプロジェクトのパッケージ構成（ファイル込み）を説明する。
※サンプルとして説明する。</t>
    <rPh sb="0" eb="1">
      <t>ホン</t>
    </rPh>
    <rPh sb="1" eb="3">
      <t>エンシュウ</t>
    </rPh>
    <rPh sb="4" eb="6">
      <t>リヨウ</t>
    </rPh>
    <rPh sb="20" eb="22">
      <t>コウセイ</t>
    </rPh>
    <rPh sb="27" eb="28">
      <t>コ</t>
    </rPh>
    <rPh sb="31" eb="33">
      <t>セツメイ</t>
    </rPh>
    <rPh sb="45" eb="47">
      <t>セツメイ</t>
    </rPh>
    <phoneticPr fontId="3"/>
  </si>
  <si>
    <t>商品一覧画面（商品一覧表示機能）を一緒に作成することを説明する。</t>
    <rPh sb="7" eb="9">
      <t>ショウヒン</t>
    </rPh>
    <rPh sb="9" eb="11">
      <t>イチラン</t>
    </rPh>
    <rPh sb="11" eb="13">
      <t>ヒョウジ</t>
    </rPh>
    <rPh sb="13" eb="15">
      <t>キノウ</t>
    </rPh>
    <rPh sb="17" eb="19">
      <t>イッショ</t>
    </rPh>
    <rPh sb="20" eb="22">
      <t>サクセイ</t>
    </rPh>
    <rPh sb="27" eb="29">
      <t>セツメイ</t>
    </rPh>
    <phoneticPr fontId="3"/>
  </si>
  <si>
    <t xml:space="preserve">Webアプリケーションの構成要素を振り返る。
・処理系
　Controller、Service、Repository
・データ保持系
　Form
　Model
　Entity
　ViewModel（今回は使わない）
・画面
　Template
</t>
    <rPh sb="12" eb="14">
      <t>コウセイ</t>
    </rPh>
    <rPh sb="14" eb="16">
      <t>ヨウソ</t>
    </rPh>
    <rPh sb="17" eb="18">
      <t>フ</t>
    </rPh>
    <rPh sb="19" eb="20">
      <t>カエ</t>
    </rPh>
    <rPh sb="24" eb="26">
      <t>ショリ</t>
    </rPh>
    <rPh sb="26" eb="27">
      <t>ケイ</t>
    </rPh>
    <rPh sb="63" eb="65">
      <t>ホジ</t>
    </rPh>
    <rPh sb="65" eb="66">
      <t>ケイ</t>
    </rPh>
    <rPh sb="99" eb="101">
      <t>コンカイ</t>
    </rPh>
    <rPh sb="102" eb="103">
      <t>ツカ</t>
    </rPh>
    <phoneticPr fontId="3"/>
  </si>
  <si>
    <t>受講生に以下を実施してもらう。
1. プロンプトを作成する。
2. プロンプトを実行し、成果物を生成する。
3. 生成された成果物を確認し、要件を満たしているかを確認する。
4. 必要に応じてプロンプトを改善し、成果物をブラッシュアップする。</t>
    <rPh sb="0" eb="3">
      <t>ジュコウセイ</t>
    </rPh>
    <rPh sb="4" eb="6">
      <t>イカ</t>
    </rPh>
    <rPh sb="7" eb="9">
      <t>ジッシ</t>
    </rPh>
    <phoneticPr fontId="3"/>
  </si>
  <si>
    <t>以下の概要を説明する。
・Repository
・Mapper</t>
    <rPh sb="0" eb="2">
      <t>イカ</t>
    </rPh>
    <rPh sb="3" eb="5">
      <t>ガイヨウ</t>
    </rPh>
    <rPh sb="6" eb="8">
      <t>セツメイ</t>
    </rPh>
    <phoneticPr fontId="3"/>
  </si>
  <si>
    <t>以下の概要を説明する。
・Entity
・Model</t>
    <rPh sb="0" eb="2">
      <t>イカ</t>
    </rPh>
    <rPh sb="3" eb="5">
      <t>ガイヨウ</t>
    </rPh>
    <rPh sb="6" eb="8">
      <t>セツメイ</t>
    </rPh>
    <phoneticPr fontId="3"/>
  </si>
  <si>
    <t>以下の概要を説明する。
・Service</t>
    <rPh sb="0" eb="2">
      <t>イカ</t>
    </rPh>
    <rPh sb="3" eb="5">
      <t>ガイヨウ</t>
    </rPh>
    <rPh sb="6" eb="8">
      <t>セツメイ</t>
    </rPh>
    <phoneticPr fontId="3"/>
  </si>
  <si>
    <t>以下の概要を説明する。
・Controller</t>
    <rPh sb="0" eb="2">
      <t>イカ</t>
    </rPh>
    <rPh sb="3" eb="5">
      <t>ガイヨウ</t>
    </rPh>
    <rPh sb="6" eb="8">
      <t>セツメイ</t>
    </rPh>
    <phoneticPr fontId="3"/>
  </si>
  <si>
    <t>以下の概要を説明する。
・Template</t>
    <rPh sb="0" eb="2">
      <t>イカ</t>
    </rPh>
    <rPh sb="3" eb="5">
      <t>ガイヨウ</t>
    </rPh>
    <rPh sb="6" eb="8">
      <t>セツメイ</t>
    </rPh>
    <phoneticPr fontId="3"/>
  </si>
  <si>
    <t>以下の概要を説明する。
・Form</t>
    <rPh sb="0" eb="2">
      <t>イカ</t>
    </rPh>
    <rPh sb="3" eb="5">
      <t>ガイヨウ</t>
    </rPh>
    <rPh sb="6" eb="8">
      <t>セツメイ</t>
    </rPh>
    <phoneticPr fontId="3"/>
  </si>
  <si>
    <t>プロジェクトを実行し、ブラウザで確認する。
1. ターミナルを開き、以下のコマンドを実行する。
　mvn spring-boot:run
2. ブラウザを開き、以下を入力する。
　http://localhost:8080</t>
    <phoneticPr fontId="3"/>
  </si>
  <si>
    <r>
      <t xml:space="preserve">プロジェクトを実行し、ブラウザで確認する。
1. ターミナルを開き、以下のコマンドを実行する。
　mvn spring-boot:run
2. ブラウザを開き、以下を入力する。
　http://localhost:8080
</t>
    </r>
    <r>
      <rPr>
        <sz val="9"/>
        <color rgb="FFFF0000"/>
        <rFont val="Meiryo UI"/>
        <family val="3"/>
        <charset val="128"/>
      </rPr>
      <t>※ハンズオンとして実施する。</t>
    </r>
    <phoneticPr fontId="3"/>
  </si>
  <si>
    <r>
      <t xml:space="preserve">生成AIを利用して画面モックアップを作成する方法を説明する。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9" eb="11">
      <t>ガメン</t>
    </rPh>
    <rPh sb="71" eb="72">
      <t>ナイ</t>
    </rPh>
    <rPh sb="79" eb="81">
      <t>リヨウ</t>
    </rPh>
    <rPh sb="83" eb="84">
      <t>ヨ</t>
    </rPh>
    <phoneticPr fontId="3"/>
  </si>
  <si>
    <r>
      <t xml:space="preserve">生成AIを利用して画面（Template）と処理（Controler関連）を作成する方法を説明する。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9" eb="11">
      <t>ガメン</t>
    </rPh>
    <rPh sb="22" eb="24">
      <t>ショリ</t>
    </rPh>
    <rPh sb="34" eb="36">
      <t>カンレン</t>
    </rPh>
    <phoneticPr fontId="3"/>
  </si>
  <si>
    <r>
      <t xml:space="preserve">生成AIを利用してデータベース処理（Repository関連）とビジネスロジック（Service関連）を作成する方法を説明する。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15" eb="17">
      <t>ショリ</t>
    </rPh>
    <rPh sb="48" eb="50">
      <t>カンレン</t>
    </rPh>
    <phoneticPr fontId="3"/>
  </si>
  <si>
    <r>
      <t xml:space="preserve">生成AIを利用してデータベースのテーブルの初期データを作成する方法を説明する。
その後、実際にデモを行い、プロンプトの作成方法や活用方法を確認する。
</t>
    </r>
    <r>
      <rPr>
        <sz val="9"/>
        <color rgb="FFFF0000"/>
        <rFont val="Meiryo UI"/>
        <family val="3"/>
        <charset val="128"/>
      </rPr>
      <t>※テキスト内のプロンプトを利用して良い。</t>
    </r>
    <rPh sb="21" eb="23">
      <t>ショキ</t>
    </rPh>
    <phoneticPr fontId="3"/>
  </si>
  <si>
    <r>
      <t xml:space="preserve">生成AIを利用してデータベースのテーブルを作成する方法を説明する。
その後、実際にデモを行い、プロンプトの作成方法や活用方法を確認する。
</t>
    </r>
    <r>
      <rPr>
        <sz val="9"/>
        <color rgb="FFFF0000"/>
        <rFont val="Meiryo UI"/>
        <family val="3"/>
        <charset val="128"/>
      </rPr>
      <t>※テキスト内のプロンプトを利用して良い。</t>
    </r>
    <phoneticPr fontId="3"/>
  </si>
  <si>
    <r>
      <t xml:space="preserve">受講生にアプリケーションの動作確認を実施してもらう。
</t>
    </r>
    <r>
      <rPr>
        <sz val="9"/>
        <color rgb="FFFF0000"/>
        <rFont val="Meiryo UI"/>
        <family val="3"/>
        <charset val="128"/>
      </rPr>
      <t>※既にアプリケーションが起動している場合は、ブラウザをリフレッシュするだけでよいことを伝える。
※アプリケーションを二重に起動するとポートが競合し、正常に起動できない場合があることを説明する。
※起動エラーが発生した場合、既存のアプリケーションを実行しているターミナルを停止し、再度起動することを伝える。</t>
    </r>
    <phoneticPr fontId="3"/>
  </si>
  <si>
    <t>バイブコーディング：ハンズオン</t>
    <phoneticPr fontId="3"/>
  </si>
  <si>
    <t>バイブコーディング：演習</t>
    <rPh sb="10" eb="12">
      <t>エンシュウ</t>
    </rPh>
    <phoneticPr fontId="3"/>
  </si>
  <si>
    <t>以下を伝える。
・作成順
　1. 商品詳細画面:今作った
　2. カート画面
　3. 注文確認画面
　4. 注文完了画面
・作成の進め方
　1. 仕様を満たすプロンプトを検討する。
　2. プロンプトを実行する。
作成後には仕様をみたしているかを確認する。
　1. 仕様を確認する。
　2. プロンプトを作成する。
　3. プロンプトを実行し、成果物を生成する。
　4. 生成された成果物を確認し、要件を満たしているかを確認する。
　5. 必要に応じてプロンプトを改善し、成果物をブラッシュアップ(仕様を満たす)する。</t>
    <rPh sb="0" eb="2">
      <t>イカ</t>
    </rPh>
    <rPh sb="3" eb="4">
      <t>ツタ</t>
    </rPh>
    <rPh sb="9" eb="11">
      <t>サクセイ</t>
    </rPh>
    <rPh sb="11" eb="12">
      <t>ジュン</t>
    </rPh>
    <rPh sb="24" eb="25">
      <t>イマ</t>
    </rPh>
    <rPh sb="25" eb="26">
      <t>ツク</t>
    </rPh>
    <rPh sb="63" eb="65">
      <t>サクセイ</t>
    </rPh>
    <rPh sb="66" eb="67">
      <t>スス</t>
    </rPh>
    <rPh sb="68" eb="69">
      <t>カタシヨウ</t>
    </rPh>
    <rPh sb="75" eb="76">
      <t>ミ</t>
    </rPh>
    <rPh sb="84" eb="86">
      <t>ケントウサクセイ</t>
    </rPh>
    <rPh sb="108" eb="109">
      <t>ゴ</t>
    </rPh>
    <rPh sb="111" eb="113">
      <t>シヨウ</t>
    </rPh>
    <rPh sb="122" eb="123">
      <t>カク</t>
    </rPh>
    <rPh sb="134" eb="136">
      <t>シヨウ</t>
    </rPh>
    <rPh sb="137" eb="139">
      <t>カクニン</t>
    </rPh>
    <rPh sb="250" eb="252">
      <t>シヨウ</t>
    </rPh>
    <rPh sb="253" eb="254">
      <t>ミ</t>
    </rPh>
    <phoneticPr fontId="3"/>
  </si>
  <si>
    <t>Gitとは、「ドキュメントやソースコードなどの変更履歴を管理するためのバージョン管理システム」のこと。
※変更履歴を時系列で管理し、過去の状態の確認や復元ができます。
■Gitのメリット
・変更履歴を残せる
・以前の状態に戻せる
・安心して変更や実験ができる</t>
    <phoneticPr fontId="3"/>
  </si>
  <si>
    <r>
      <t xml:space="preserve">ユーザ登録の手順を説明する。
1. VS Codeでプロジェクトを開く(File→Open Folderからプロジェクトのルートディレクトリを選択)
2. 上部のタブからTerminalを選択し、「New Terminal」をクリックする。
3. 開いたターミナルで以下2つのコマンドを打つ。
　1. git config --local user.name "任意の名前"
  2. git config --local user.email “自身のメールアドレス(@jp.nttdata.comのもの)"
</t>
    </r>
    <r>
      <rPr>
        <sz val="9"/>
        <color rgb="FFFF0000"/>
        <rFont val="Meiryo UI"/>
        <family val="3"/>
        <charset val="128"/>
      </rPr>
      <t>※ハンズオンとして実施する。
※まとめてコマンドを実行しないように注意する。</t>
    </r>
    <rPh sb="3" eb="5">
      <t>トウロク</t>
    </rPh>
    <rPh sb="6" eb="8">
      <t>テジュン</t>
    </rPh>
    <rPh sb="9" eb="11">
      <t>セツメイ</t>
    </rPh>
    <rPh sb="282" eb="284">
      <t>ジッコウ</t>
    </rPh>
    <rPh sb="290" eb="292">
      <t>チュウイ</t>
    </rPh>
    <phoneticPr fontId="3"/>
  </si>
  <si>
    <t xml:space="preserve">・AI-01
</t>
    <phoneticPr fontId="3"/>
  </si>
  <si>
    <r>
      <t xml:space="preserve">ローカルリポジトリの作成手順を説明する。
</t>
    </r>
    <r>
      <rPr>
        <sz val="9"/>
        <color rgb="FFFF0000"/>
        <rFont val="Meiryo UI"/>
        <family val="3"/>
        <charset val="128"/>
      </rPr>
      <t>※ハンズオンとして実施する。</t>
    </r>
    <rPh sb="10" eb="12">
      <t>サクセイ</t>
    </rPh>
    <rPh sb="12" eb="14">
      <t>テジュン</t>
    </rPh>
    <rPh sb="15" eb="17">
      <t>セツメイ</t>
    </rPh>
    <phoneticPr fontId="3"/>
  </si>
  <si>
    <r>
      <t xml:space="preserve">最初のコミットの手順を説明する。
</t>
    </r>
    <r>
      <rPr>
        <sz val="9"/>
        <color rgb="FFFF0000"/>
        <rFont val="Meiryo UI"/>
        <family val="3"/>
        <charset val="128"/>
      </rPr>
      <t>※ハンズオンとして実施する。
※コメントは必須であることを強調する。</t>
    </r>
    <rPh sb="0" eb="2">
      <t>サイショ</t>
    </rPh>
    <rPh sb="8" eb="10">
      <t>テジュン</t>
    </rPh>
    <rPh sb="11" eb="13">
      <t>セツメイ</t>
    </rPh>
    <rPh sb="38" eb="40">
      <t>ヒッス</t>
    </rPh>
    <rPh sb="46" eb="48">
      <t>キョウチョウ</t>
    </rPh>
    <phoneticPr fontId="3"/>
  </si>
  <si>
    <r>
      <t xml:space="preserve">２回目以降のコミットの手順を説明する。
</t>
    </r>
    <r>
      <rPr>
        <sz val="9"/>
        <color rgb="FFFF0000"/>
        <rFont val="Meiryo UI"/>
        <family val="3"/>
        <charset val="128"/>
      </rPr>
      <t>※ハンズオンとして実施する。
※コメントは必須であることを強調する。</t>
    </r>
    <rPh sb="1" eb="3">
      <t>カイメ</t>
    </rPh>
    <rPh sb="3" eb="5">
      <t>イコウ</t>
    </rPh>
    <rPh sb="11" eb="13">
      <t>テジュン</t>
    </rPh>
    <rPh sb="14" eb="16">
      <t>セツメイ</t>
    </rPh>
    <rPh sb="41" eb="43">
      <t>ヒッス</t>
    </rPh>
    <rPh sb="49" eb="51">
      <t>キョウチョウ</t>
    </rPh>
    <phoneticPr fontId="3"/>
  </si>
  <si>
    <r>
      <t xml:space="preserve">過去のコミットの確認方法を説明する。
</t>
    </r>
    <r>
      <rPr>
        <sz val="9"/>
        <color rgb="FFFF0000"/>
        <rFont val="Meiryo UI"/>
        <family val="3"/>
        <charset val="128"/>
      </rPr>
      <t>※ハンズオンとして実施する。</t>
    </r>
    <rPh sb="0" eb="2">
      <t>カコ</t>
    </rPh>
    <rPh sb="8" eb="10">
      <t>カクニン</t>
    </rPh>
    <rPh sb="10" eb="12">
      <t>ホウホウ</t>
    </rPh>
    <rPh sb="13" eb="15">
      <t>セツメイ</t>
    </rPh>
    <phoneticPr fontId="3"/>
  </si>
  <si>
    <t>個人がローカル環境（ローカルリポジトリのみの運用）でGitを使う方法を説明する。
1. ファイルを編集（作業ディレクトリ）
   ・sample.txt を編集
2. 変更内容をステージに追加
   ・git add sample.txt
   ※コミットしたい変更を選択する
3. ステージされた変更を履歴として保存
   ・git commit -m "初回作成"
   ※ローカルリポジトリに保存する
4. 履歴を確認
   ・git log
5. 必要に応じて以前の状態へ戻す
   ・git reset
   ・git revert</t>
    <rPh sb="32" eb="34">
      <t>ホウホウ</t>
    </rPh>
    <rPh sb="35" eb="37">
      <t>セツメイ</t>
    </rPh>
    <phoneticPr fontId="3"/>
  </si>
  <si>
    <r>
      <t xml:space="preserve">戻す方法を説明する。
revert：履歴を残して変更を取り消す
reset：履歴を巻き戻す
</t>
    </r>
    <r>
      <rPr>
        <sz val="9"/>
        <color rgb="FFFF0000"/>
        <rFont val="Meiryo UI"/>
        <family val="3"/>
        <charset val="128"/>
      </rPr>
      <t>※ハンズオンとして実施する。</t>
    </r>
    <r>
      <rPr>
        <sz val="9"/>
        <rFont val="Meiryo UI"/>
        <family val="3"/>
        <charset val="128"/>
      </rPr>
      <t xml:space="preserve">
</t>
    </r>
    <rPh sb="0" eb="1">
      <t>モド</t>
    </rPh>
    <rPh sb="2" eb="4">
      <t>ホウホウ</t>
    </rPh>
    <rPh sb="5" eb="7">
      <t>セツメイ</t>
    </rPh>
    <phoneticPr fontId="3"/>
  </si>
  <si>
    <t>-</t>
    <phoneticPr fontId="3"/>
  </si>
  <si>
    <t>ソフトウェア開発ライフサイクル</t>
    <phoneticPr fontId="22"/>
  </si>
  <si>
    <t>ソフトウェア開発ライフサイクルの種類</t>
    <phoneticPr fontId="22"/>
  </si>
  <si>
    <t>TERASOLUNA 開発手順</t>
    <phoneticPr fontId="22"/>
  </si>
  <si>
    <t>プロジェクトごとのテーラリング</t>
    <phoneticPr fontId="22"/>
  </si>
  <si>
    <t>V字モデル　– 要求定義 –</t>
    <phoneticPr fontId="22"/>
  </si>
  <si>
    <t>「要求」と「要件」の違い</t>
    <phoneticPr fontId="22"/>
  </si>
  <si>
    <t xml:space="preserve">V字モデル　– システムテスト – </t>
    <phoneticPr fontId="22"/>
  </si>
  <si>
    <t xml:space="preserve">V字モデル　– 受入テスト – </t>
    <phoneticPr fontId="22"/>
  </si>
  <si>
    <t>参考：TERASOLUNA開発手順　タスクフロー</t>
    <phoneticPr fontId="22"/>
  </si>
  <si>
    <t>講義の目的</t>
    <phoneticPr fontId="22"/>
  </si>
  <si>
    <t>システム開発におけるソフトウェア開発ライフサイクル</t>
    <phoneticPr fontId="3"/>
  </si>
  <si>
    <t>TERASOLUNA 開発手順</t>
  </si>
  <si>
    <t>プロジェクトごとのテーラリング</t>
  </si>
  <si>
    <t>V字モデル　– 要求定義 –</t>
  </si>
  <si>
    <t>TERASOLUNAとは</t>
    <phoneticPr fontId="3"/>
  </si>
  <si>
    <t>V字モデル</t>
  </si>
  <si>
    <t>V字モデルとは</t>
    <phoneticPr fontId="3"/>
  </si>
  <si>
    <t>「要求」と「要件」の違い</t>
  </si>
  <si>
    <t>V字モデル</t>
    <phoneticPr fontId="22"/>
  </si>
  <si>
    <t>V字モデル　– 要求分析 –</t>
  </si>
  <si>
    <t>V字モデル　– 要求分析 –</t>
    <phoneticPr fontId="22"/>
  </si>
  <si>
    <t>V字モデル　– アーキテクチャ設計 –</t>
  </si>
  <si>
    <t>V字モデル　– アーキテクチャ設計 –</t>
    <phoneticPr fontId="22"/>
  </si>
  <si>
    <t>V字モデル　– 詳細設計 –</t>
  </si>
  <si>
    <t>V字モデル　– 詳細設計 –</t>
    <phoneticPr fontId="22"/>
  </si>
  <si>
    <t>V字モデル　– 製造 –</t>
  </si>
  <si>
    <t>V字モデル　– 製造 –</t>
    <phoneticPr fontId="22"/>
  </si>
  <si>
    <t>V字モデル　– 単体テスト –</t>
  </si>
  <si>
    <t>V字モデル　– 単体テスト –</t>
    <phoneticPr fontId="22"/>
  </si>
  <si>
    <t>V字モデル　– 結合テスト –</t>
    <phoneticPr fontId="22"/>
  </si>
  <si>
    <t xml:space="preserve">V字モデル　– システムテスト – </t>
  </si>
  <si>
    <t xml:space="preserve">V字モデル　– 受入テスト – </t>
  </si>
  <si>
    <t>参考：TERASOLUNA開発手順　タスクフロー</t>
  </si>
  <si>
    <t xml:space="preserve">以下を学習することを説明する。
・システム開発プロセスを理解する
本研修では以下を中心に学習することを説明する。
・製造工程（前半「Webアプリケーション開発-Java&amp;Spring&amp;DB」）
・単体テスト工程（後半「単体テストとJUnit」）
</t>
    <rPh sb="0" eb="2">
      <t>イカ</t>
    </rPh>
    <rPh sb="3" eb="5">
      <t>ガクシュウ</t>
    </rPh>
    <rPh sb="10" eb="12">
      <t>セツメイ</t>
    </rPh>
    <rPh sb="34" eb="37">
      <t>ホンケンシュウ</t>
    </rPh>
    <rPh sb="39" eb="41">
      <t>イカ</t>
    </rPh>
    <rPh sb="42" eb="44">
      <t>チュウシン</t>
    </rPh>
    <rPh sb="45" eb="47">
      <t>ガクシュウ</t>
    </rPh>
    <rPh sb="52" eb="54">
      <t>セツメイ</t>
    </rPh>
    <phoneticPr fontId="3"/>
  </si>
  <si>
    <t>ソフトウェア開発ライフサイクル（SDLC）とは、「要件定義、設計、製造、テスト、リリースなど、ソフトウェア開発における各工程と、それらの実施順序や関係性を定義したもの」のこと。</t>
    <rPh sb="33" eb="35">
      <t>セイゾウ</t>
    </rPh>
    <phoneticPr fontId="3"/>
  </si>
  <si>
    <t xml:space="preserve">・AI-01
</t>
    <phoneticPr fontId="3"/>
  </si>
  <si>
    <t xml:space="preserve">各ソフトウェア開発モデルの種類を説明する。
■ウォーターフォール開発
　ソフトウェア開発の工程を前から順番に進めていく直線的なモデル
　アジャイルソフトウェア開発：短いサイクルで設計・実装・テストを繰り返しながら、変化に柔軟に対応して進める反復型・適応型のモデル
　TERASOLUNA開発手順は、ウォーターフォール開発の一つである。
■スクラム開発
　アジャイルソフトウェア開発の代表的な手法の一つ。短い期間（スプリント）ごとに、設計・実装・テストを繰り返しながら機能を完成させていく開発手法。
重視する4つの価値
　・プロセスやツールよりも、個人と対話を重視する
　・包括的なドキュメントよりも、動くソフトウェアを重視する
　・契約交渉よりも、顧客との協調を重視する
　・計画に従うことよりも、変化への対応を重視する
スクラムアカウンタビリティ（役割）の種類
　・スクラムマスター：スクラムの進行を支援し、チームが円滑に活動できるようサポートする
　・プロダクトオーナー：開発する機能や優先順位を決定し、プロダクトの価値を最大化する
　・開発者：設計・実装・テストを行い、成果物を作成する
</t>
    <rPh sb="0" eb="1">
      <t>カク</t>
    </rPh>
    <rPh sb="7" eb="9">
      <t>カイハツ</t>
    </rPh>
    <rPh sb="13" eb="15">
      <t>シュルイ</t>
    </rPh>
    <rPh sb="16" eb="18">
      <t>セツメイ</t>
    </rPh>
    <rPh sb="157" eb="159">
      <t>カイハツ</t>
    </rPh>
    <rPh sb="160" eb="161">
      <t>ヒト</t>
    </rPh>
    <rPh sb="377" eb="379">
      <t>ヤクワリ</t>
    </rPh>
    <rPh sb="381" eb="383">
      <t>シュルイ</t>
    </rPh>
    <phoneticPr fontId="3"/>
  </si>
  <si>
    <t>TERASOLUNAとは、「NTTD社が提供するオープン系システム開発のための総合ソリューションの総称」のこと。
その一つである「TERASOLUNA開発標準」は、要求定義から受入テストまでを対象としたシステム開発手順を提供しており、品質を確保するためにV字モデルを採用している。
TERASOLUNAが提供する主な内容
・開発手順（プロセス）
　要求定義から受入テストまでの開発プロセスや成果物の作成方法を提供
・開発環境
　フレームワーク、ライブラリ、IDEなどの開発基盤を提供
・サポート
　技術情報、Q&amp;A、教育・研修などの支援を提供</t>
    <phoneticPr fontId="3"/>
  </si>
  <si>
    <t>「TERASOLUNA」により開発手順、開発環境、成果物などを標準化している。
しかし、すべてのプロジェクトに同じ手順やルールを適用すると、プロジェクトの特性によっては開発効率の低下や進行の妨げとなる場合がある。
↓
そのため、プロジェクトの規模や特性に応じて標準を調整する「テーラリング」が認められている。
※テーラリング：標準プロセスをそのまま適用するのではなく、プロジェクトの特性に合わせて最適化することである。
また、生成AIを活用した「AIネイティブ開発」では、従来の開発プロセスとは異なる考慮が必要となる。
そのため、TERASOLUNAで定められた開発手順や成果物についても、生成AIの特性を踏まえたテーラリングが求められる。</t>
    <phoneticPr fontId="3"/>
  </si>
  <si>
    <t>V字モデルとは、「開発工程とテスト工程の対応関係をV字型で表現した開発モデル」のこと。
TERASOLUNA開発手順では、要求定義から受入テストまでの8つのフェーズを対象にV字モデルを採用し、各設計工程の成果物を対応するテスト工程で検証することで品質を確保している。
※品質の作りこみVS製造・テスト
■メリット
・各フェーズが明確で、進捗管理がしやすい
・設計内容とテスト内容の対応関係が明確で、品質を確保しやすい
・フェーズごとに成果物を確認するため、問題を早期に発見しやすい
■デメリット
・各フェーズが順序立てて実施され、途中での開始/終了ができない
・前のフェーズの成果物をインプットにしているため、複数フェーズを同時進行できない</t>
    <rPh sb="136" eb="138">
      <t>ヒンシツ</t>
    </rPh>
    <rPh sb="139" eb="140">
      <t>ツク</t>
    </rPh>
    <rPh sb="145" eb="147">
      <t>セイゾウ</t>
    </rPh>
    <phoneticPr fontId="3"/>
  </si>
  <si>
    <t>要求定義フェーズについて説明する。
顧客の抱える問題・課題や目指す将来像を踏まえ、システム化の目的や解決方針を明確にするフェーズ。
顧客や利害関係者との対話を通じて要求を収集・整理し、システムに求められる機能や制約条件を要求仕様として文書化する。
実施順序
　情報収集　→　検討　→　提案</t>
    <rPh sb="12" eb="14">
      <t>セツメイ</t>
    </rPh>
    <rPh sb="125" eb="127">
      <t>ジッシ</t>
    </rPh>
    <rPh sb="127" eb="129">
      <t>ジュンジョ</t>
    </rPh>
    <rPh sb="131" eb="133">
      <t>ジョウホウ</t>
    </rPh>
    <rPh sb="133" eb="135">
      <t>シュウシュウ</t>
    </rPh>
    <rPh sb="138" eb="140">
      <t>ケントウ</t>
    </rPh>
    <rPh sb="143" eb="145">
      <t>テイアン</t>
    </rPh>
    <phoneticPr fontId="3"/>
  </si>
  <si>
    <t>要求と要件の違いを説明する。
・要求（Requirement）
　顧客やユーザーが実現したいこと、解決したい課題、期待する結果。
　「何を実現したいか」を表す。
・要件（System Requirement）
　要求を実現するために、システムが満たすべき具体的な条件や機能。
　「何を備える必要があるか」を表す。</t>
    <rPh sb="3" eb="5">
      <t>ヨウケン</t>
    </rPh>
    <rPh sb="6" eb="7">
      <t>チガ</t>
    </rPh>
    <rPh sb="9" eb="11">
      <t>セツメイ</t>
    </rPh>
    <phoneticPr fontId="3"/>
  </si>
  <si>
    <t xml:space="preserve">・AI-01
</t>
    <phoneticPr fontId="3"/>
  </si>
  <si>
    <r>
      <t xml:space="preserve">要求分析フェーズについて説明する。
顧客と合意した要求を分析・整理し、システムとして実現すべき要件を明確化するフェーズ。
要求分析では、要求を機能要求と非機能要求に分類し、システムに必要な要件を定義する。
・機能要求
　システムがユーザーに対して提供する機能やサービスに関する要件。
　例：ユーザ登録機能、商品検索機能など
・非機能要求
　機能以外の品質や運用に関する要件。
　例：可用性、性能・拡張性、運用・保守性、セキュリティなど
業務フロー定義の概要を説明する。
</t>
    </r>
    <r>
      <rPr>
        <sz val="9"/>
        <color rgb="FFFF0000"/>
        <rFont val="Meiryo UI"/>
        <family val="3"/>
        <charset val="128"/>
      </rPr>
      <t xml:space="preserve">※タスクやアクティビティという言葉は触れない。
</t>
    </r>
    <r>
      <rPr>
        <sz val="9"/>
        <rFont val="Meiryo UI"/>
        <family val="3"/>
        <charset val="128"/>
      </rPr>
      <t xml:space="preserve">
成果物の概要を説明する。
・業務フロー図
・ユースケース定義書
・画面遷移図
・画面定義書
・外部IF定義書
・ER図
・エンティティ定義書</t>
    </r>
    <rPh sb="2" eb="4">
      <t>ブンセキ</t>
    </rPh>
    <rPh sb="12" eb="14">
      <t>セツメイ</t>
    </rPh>
    <rPh sb="149" eb="151">
      <t>トウロク</t>
    </rPh>
    <rPh sb="154" eb="156">
      <t>ショウヒン</t>
    </rPh>
    <rPh sb="156" eb="158">
      <t>ケンサク</t>
    </rPh>
    <rPh sb="221" eb="223">
      <t>ギョウム</t>
    </rPh>
    <rPh sb="226" eb="228">
      <t>テイギ</t>
    </rPh>
    <rPh sb="229" eb="231">
      <t>ガイヨウ</t>
    </rPh>
    <rPh sb="232" eb="234">
      <t>セツメイ</t>
    </rPh>
    <rPh sb="263" eb="266">
      <t>セイカブツ</t>
    </rPh>
    <rPh sb="267" eb="269">
      <t>ガイヨウ</t>
    </rPh>
    <rPh sb="270" eb="272">
      <t>セツメイ</t>
    </rPh>
    <rPh sb="282" eb="283">
      <t>ズ</t>
    </rPh>
    <rPh sb="291" eb="293">
      <t>テイギ</t>
    </rPh>
    <rPh sb="293" eb="294">
      <t>ショ</t>
    </rPh>
    <rPh sb="296" eb="298">
      <t>ガメン</t>
    </rPh>
    <rPh sb="298" eb="301">
      <t>センイズ</t>
    </rPh>
    <rPh sb="303" eb="305">
      <t>ガメン</t>
    </rPh>
    <rPh sb="310" eb="312">
      <t>ガイブ</t>
    </rPh>
    <rPh sb="314" eb="316">
      <t>テイギ</t>
    </rPh>
    <rPh sb="316" eb="317">
      <t>ショ</t>
    </rPh>
    <rPh sb="321" eb="322">
      <t>ズ</t>
    </rPh>
    <phoneticPr fontId="3"/>
  </si>
  <si>
    <t>アーキテクチャ設計フェーズについて説明する。
要求分析フェーズで定義した要件を実現するための実現方法（入出力、処理、データ構造など）を決めるフェーズ。
要求定義の成果物（定義書）→アーキテクチャ設計→XXX設計書
成果物の概要を説明する。
・オンライン処理設計書
・画面設計書
・画面定義書
・外部IF設計書
・テーブル設計書</t>
    <rPh sb="7" eb="9">
      <t>セッケイ</t>
    </rPh>
    <rPh sb="17" eb="19">
      <t>セツメイ</t>
    </rPh>
    <rPh sb="76" eb="80">
      <t>ヨウキュウテイギ</t>
    </rPh>
    <rPh sb="81" eb="84">
      <t>セイカブツ</t>
    </rPh>
    <rPh sb="85" eb="87">
      <t>テイギ</t>
    </rPh>
    <rPh sb="87" eb="88">
      <t>ショ</t>
    </rPh>
    <rPh sb="97" eb="99">
      <t>セッケイ</t>
    </rPh>
    <rPh sb="103" eb="106">
      <t>セッケイショ</t>
    </rPh>
    <rPh sb="108" eb="111">
      <t>セイカブツ</t>
    </rPh>
    <rPh sb="112" eb="114">
      <t>ガイヨウ</t>
    </rPh>
    <rPh sb="115" eb="117">
      <t>セツメイ</t>
    </rPh>
    <rPh sb="134" eb="136">
      <t>ガメン</t>
    </rPh>
    <rPh sb="136" eb="139">
      <t>セッケイショ</t>
    </rPh>
    <rPh sb="141" eb="143">
      <t>ガメン</t>
    </rPh>
    <rPh sb="148" eb="150">
      <t>ガイブ</t>
    </rPh>
    <rPh sb="152" eb="155">
      <t>セッケイショ</t>
    </rPh>
    <rPh sb="161" eb="164">
      <t>セッケイショ</t>
    </rPh>
    <phoneticPr fontId="3"/>
  </si>
  <si>
    <t>詳細設計フェーズについて説明する。
アーキテクチャ設計を元に、そのまま開発できるレベルまで詳細化するフェーズ。
※独自に設計書を書き起こす必要がないと判断され、省略されることが多い
成果物の概要を説明する。
・ユニット設計書</t>
    <rPh sb="0" eb="2">
      <t>ショウサイ</t>
    </rPh>
    <rPh sb="2" eb="4">
      <t>セッケイ</t>
    </rPh>
    <rPh sb="12" eb="14">
      <t>セツメイ</t>
    </rPh>
    <rPh sb="92" eb="95">
      <t>セイカブツ</t>
    </rPh>
    <rPh sb="96" eb="98">
      <t>ガイヨウ</t>
    </rPh>
    <rPh sb="99" eb="101">
      <t>セツメイ</t>
    </rPh>
    <rPh sb="110" eb="113">
      <t>セッケイショ</t>
    </rPh>
    <phoneticPr fontId="3"/>
  </si>
  <si>
    <t>製造フェーズについて説明する。
詳細設計通りに動作するプログラムコードを作成するフェーズ。
成果物の概要を説明する。
・プログラムコード</t>
    <rPh sb="0" eb="2">
      <t>セイゾウ</t>
    </rPh>
    <rPh sb="10" eb="12">
      <t>セツメイ</t>
    </rPh>
    <rPh sb="47" eb="50">
      <t>セイカブツ</t>
    </rPh>
    <rPh sb="51" eb="53">
      <t>ガイヨウ</t>
    </rPh>
    <rPh sb="54" eb="56">
      <t>セツメイ</t>
    </rPh>
    <phoneticPr fontId="3"/>
  </si>
  <si>
    <t>単体テストフェーズについて説明する。
アプリケーションが詳細設計通りに動作するかを確認するフェーズ。
成果物の概要を説明する。
・ユニット計画書
・ユニットテストケース表
・ユニットテストコード
・ユニットテスト手順書</t>
    <rPh sb="0" eb="2">
      <t>タンタイ</t>
    </rPh>
    <rPh sb="13" eb="15">
      <t>セツメイ</t>
    </rPh>
    <rPh sb="46" eb="49">
      <t>セイカブツ</t>
    </rPh>
    <rPh sb="50" eb="52">
      <t>ガイヨウ</t>
    </rPh>
    <rPh sb="53" eb="55">
      <t>セツメイ</t>
    </rPh>
    <rPh sb="70" eb="73">
      <t>ケイカクショ</t>
    </rPh>
    <rPh sb="85" eb="86">
      <t>ヒョウ</t>
    </rPh>
    <rPh sb="107" eb="110">
      <t>テジュンショ</t>
    </rPh>
    <phoneticPr fontId="3"/>
  </si>
  <si>
    <t>V字モデル　– 結合テスト –</t>
    <phoneticPr fontId="3"/>
  </si>
  <si>
    <t>結合テストフェーズについて説明する。
アプリケーションが要件/設計通りに動作するかを確認するフェーズ。
テストの種類が分かれていることを説明する。
・処理テスト：処理設計の妥当性を検証する。
・ユースケーステスト：ユースケース定義の妥当性を検証する。
・業務テスト：業務定義の妥当性を検証する。
※システムの詳細な部分からテストを実施し、テスト対象範囲を少しずつ広くしていく</t>
    <rPh sb="0" eb="2">
      <t>ケツゴウ</t>
    </rPh>
    <rPh sb="13" eb="15">
      <t>セツメイ</t>
    </rPh>
    <rPh sb="47" eb="50">
      <t>セイカブツ</t>
    </rPh>
    <rPh sb="51" eb="53">
      <t>ガイヨウ</t>
    </rPh>
    <rPh sb="57" eb="59">
      <t>シュルイ</t>
    </rPh>
    <rPh sb="60" eb="61">
      <t>ワ</t>
    </rPh>
    <rPh sb="82" eb="84">
      <t>ショリ</t>
    </rPh>
    <rPh sb="84" eb="86">
      <t>セッケイ</t>
    </rPh>
    <rPh sb="87" eb="90">
      <t>ダトウセイ</t>
    </rPh>
    <rPh sb="91" eb="93">
      <t>ケンショウ</t>
    </rPh>
    <rPh sb="114" eb="116">
      <t>テイギ</t>
    </rPh>
    <rPh sb="128" eb="130">
      <t>ギョウム</t>
    </rPh>
    <rPh sb="134" eb="136">
      <t>ギョウム</t>
    </rPh>
    <rPh sb="136" eb="138">
      <t>テイギ</t>
    </rPh>
    <phoneticPr fontId="3"/>
  </si>
  <si>
    <t xml:space="preserve">システムテストフェーズについて説明する。
システム基盤とアプリケーションを結合したシステム全体に対して、機能要求と非機能要求を満たすかどうかを確認するフェーズ。
機能要求を満たしているかを確認するテストのほかに、性能テスト、負荷テスト、ユーザビリティテストなどの非機能要求に対するテストを実施する。
</t>
    <rPh sb="15" eb="17">
      <t>セツメイ</t>
    </rPh>
    <phoneticPr fontId="3"/>
  </si>
  <si>
    <t>受入テストフェーズについて説明する。
システム移行準備とシステムテストが完了したシステムに対して、顧客と最終確認を行い、本番移行を実施するフェーズ。
主要な作業を説明する。
・移行計画と設計
・移行支援ツール等の開発
・移行テストの計画、設計、実施
・受入テストの計画、設計、実施
・移行リハーサル実施
・移行実施</t>
    <rPh sb="0" eb="2">
      <t>ウケイレ</t>
    </rPh>
    <rPh sb="13" eb="15">
      <t>セツメイ</t>
    </rPh>
    <rPh sb="76" eb="78">
      <t>シュヨウ</t>
    </rPh>
    <rPh sb="79" eb="81">
      <t>サギョウ</t>
    </rPh>
    <rPh sb="82" eb="84">
      <t>セツメイ</t>
    </rPh>
    <phoneticPr fontId="3"/>
  </si>
  <si>
    <t>TERASOLUNA 開発手順　 ※再掲</t>
    <phoneticPr fontId="22"/>
  </si>
  <si>
    <t>V字モデル　 ※再掲</t>
    <phoneticPr fontId="22"/>
  </si>
  <si>
    <t>テストとは</t>
    <phoneticPr fontId="22"/>
  </si>
  <si>
    <t>テストの目的</t>
    <phoneticPr fontId="22"/>
  </si>
  <si>
    <t>テストを実施しなかった場合…</t>
    <phoneticPr fontId="22"/>
  </si>
  <si>
    <t>コラム：テストとデバッグ</t>
    <phoneticPr fontId="22"/>
  </si>
  <si>
    <t xml:space="preserve">V字モデル　– 製造/単体テスト –　※再掲 </t>
    <phoneticPr fontId="22"/>
  </si>
  <si>
    <t>テスト技法 – ブラックボックステスト技法 –</t>
    <phoneticPr fontId="22"/>
  </si>
  <si>
    <t>ブラックボックステスト：状態遷移テスト</t>
    <phoneticPr fontId="22"/>
  </si>
  <si>
    <t>テスト技法 – ホワイトボックステスト技法 –</t>
    <phoneticPr fontId="22"/>
  </si>
  <si>
    <t>ホワイトボックステストの評価基準</t>
    <phoneticPr fontId="22"/>
  </si>
  <si>
    <t>ホワイトボックステスト：ステートメントテスト</t>
    <phoneticPr fontId="22"/>
  </si>
  <si>
    <t>ホワイトボックステスト：ブランチテスト</t>
    <phoneticPr fontId="22"/>
  </si>
  <si>
    <t>ホワイトボックステスト：コンディションテスト</t>
    <phoneticPr fontId="22"/>
  </si>
  <si>
    <t>テスト技法 – 経験ベースの技法 –</t>
    <phoneticPr fontId="22"/>
  </si>
  <si>
    <t>単体テスト（Unit Test）とは</t>
    <phoneticPr fontId="22"/>
  </si>
  <si>
    <t>スタブとドライバ</t>
    <phoneticPr fontId="22"/>
  </si>
  <si>
    <t>スタブとモック</t>
    <phoneticPr fontId="22"/>
  </si>
  <si>
    <t>JUnitとは</t>
    <phoneticPr fontId="22"/>
  </si>
  <si>
    <t>テストとは</t>
    <phoneticPr fontId="3"/>
  </si>
  <si>
    <t>単体テストとは</t>
    <phoneticPr fontId="3"/>
  </si>
  <si>
    <t>テスト設計の流れ</t>
    <rPh sb="3" eb="5">
      <t>セッケイ</t>
    </rPh>
    <rPh sb="6" eb="7">
      <t>ナガ</t>
    </rPh>
    <phoneticPr fontId="22"/>
  </si>
  <si>
    <t>テスト設計の例</t>
    <rPh sb="3" eb="5">
      <t>セッケイ</t>
    </rPh>
    <rPh sb="6" eb="7">
      <t>レイ</t>
    </rPh>
    <phoneticPr fontId="22"/>
  </si>
  <si>
    <t>単体テスト（Unit Test）とは</t>
    <phoneticPr fontId="3"/>
  </si>
  <si>
    <t>ブラックボックステスト：同値分割法</t>
    <phoneticPr fontId="22"/>
  </si>
  <si>
    <t>ブラックボックステスト：境界値分析</t>
    <phoneticPr fontId="22"/>
  </si>
  <si>
    <t>ブラックボックステスト：ディシジョンテーブルテスト</t>
    <phoneticPr fontId="22"/>
  </si>
  <si>
    <t>Junit</t>
    <phoneticPr fontId="22"/>
  </si>
  <si>
    <t>参考文献</t>
    <phoneticPr fontId="3"/>
  </si>
  <si>
    <t>以下を学習することを説明する。
・テストの目的を理解する
・単体テストの手法を理解する</t>
    <rPh sb="0" eb="2">
      <t>イカ</t>
    </rPh>
    <rPh sb="3" eb="5">
      <t>ガクシュウ</t>
    </rPh>
    <rPh sb="10" eb="12">
      <t>セツメイ</t>
    </rPh>
    <phoneticPr fontId="3"/>
  </si>
  <si>
    <t>右側を学習することを説明する。</t>
    <rPh sb="0" eb="2">
      <t>ミギガワ</t>
    </rPh>
    <rPh sb="3" eb="5">
      <t>ガクシュウ</t>
    </rPh>
    <rPh sb="10" eb="12">
      <t>セツメイ</t>
    </rPh>
    <phoneticPr fontId="3"/>
  </si>
  <si>
    <t xml:space="preserve">テストとは、「テストとは、開発したシステムが要件どおりに動作することを確認し、要件との差異や欠陥（バグ）を発見するための作業」のこと。
※テストは欠陥が存在することは示せるが、欠陥が存在しないことは証明できない。
</t>
    <phoneticPr fontId="3"/>
  </si>
  <si>
    <t xml:space="preserve">・AI-01
</t>
    <phoneticPr fontId="3"/>
  </si>
  <si>
    <t>JSTQBでは、以下の9つの目的を挙げている。
・要件、ユーザーストーリー、設計、コードなどの作業成果物を評価する
　→　成果物の品質や妥当性を確認する。
・故障を引き起こし、欠陥を発見する
　→　システムに潜む不具合や問題点を見つける。
・求められるテスト対象のカバレッジ（網羅率）を確保する
　→　必要な範囲が十分にテストされていることを確認する。
・ソフトウェア品質が不十分な場合のリスクレベルを下げる
　→　本番運用時の障害や損失の発生リスクを軽減する。
・仕様化した要件が満たされているかどうかを検証する
　→　システムが要件どおりに実装されていることを確認する。
・テスト対象が契約、法律、規制の要件に適合していることを検証する
　→　契約事項や法令・規制を満たしていることを確認する。
・ステークホルダーに根拠ある判断をしてもらうための情報を提供する
　→　リリース可否や品質評価の判断材料を提供する。
・テスト対象の品質に対する信頼を積み上げる
　→　テスト結果を通じて品質への信頼を高める。
・テスト対象が完成し、ステークホルダーの期待通りに動作するかどうかの妥当性確認をする
　→　利用者や関係者の期待に沿ったシステムであることを確認する。
要約すると以下となる（楕円）。
開発したシステムを検証・評価して欠陥を発見し、リスクを低減するとともに品質を向上させる。
また、その結果をステークホルダーに提供し、リリース判断を支援するとともに品質への信頼を高める。</t>
    <rPh sb="533" eb="535">
      <t>ヨウヤク</t>
    </rPh>
    <rPh sb="538" eb="540">
      <t>イカ</t>
    </rPh>
    <rPh sb="544" eb="546">
      <t>ダエン</t>
    </rPh>
    <phoneticPr fontId="3"/>
  </si>
  <si>
    <t xml:space="preserve">・AI-01
</t>
    <phoneticPr fontId="3"/>
  </si>
  <si>
    <t>テストの目的をフェーズに対応するように説明する。</t>
    <rPh sb="4" eb="6">
      <t>モクテキ</t>
    </rPh>
    <rPh sb="12" eb="14">
      <t>タイオウ</t>
    </rPh>
    <rPh sb="19" eb="21">
      <t>セツメイ</t>
    </rPh>
    <phoneticPr fontId="3"/>
  </si>
  <si>
    <t>テストとデバッグの違いを説明する。
テスト：テスト対象を実行・評価し、要件との差異や欠陥（バグ）を発見するプロセス
デバッグ：テストなどで発見された欠陥（バグ）の原因を特定し、修正するプロセス
※要約は以下
テスト　=　問題を見つける活動
デバッグ　=　問題を直す活動</t>
    <rPh sb="9" eb="10">
      <t>チガ</t>
    </rPh>
    <rPh sb="12" eb="14">
      <t>セツメイ</t>
    </rPh>
    <rPh sb="99" eb="101">
      <t>ヨウヤク</t>
    </rPh>
    <rPh sb="102" eb="104">
      <t>イカ</t>
    </rPh>
    <phoneticPr fontId="3"/>
  </si>
  <si>
    <t>単体テストとは、「プログラムの最小単位が正しく動作することを確認するテスト」のこと。
ユニット＝単体</t>
    <rPh sb="48" eb="50">
      <t>タンタイ</t>
    </rPh>
    <phoneticPr fontId="3"/>
  </si>
  <si>
    <t>テスト設計の全体像を説明する。
手順
1. テスト観点のテーラリング（カスタマイズ）
　テスト観点（標準）からテスト観点（カスタマイズ）にテーラリングする。
　■テスト観点（標準）
　　テスト対象をどのような視点で確認するかを定義したもの。
　　※標準的なテスト観点表を用いることで、テストの網羅性を確保する。
　■テスト観点（カスタマイズ）
　　テスト観点（標準）をベースに、対象システムの特性や要件に合わせてテーラリング（変更・削除・追加）を行ったテスト観点表のこと。
　　※テスト観点（標準）は、あらゆるシステムに共通して利用できるよう作成されているため、そのまま適用できるとは限らない。
2. テスト項目の洗い出し
　テスト観点（カスタマイズ）とインプットを掛け合わせて、網羅的なテスト項目を洗い出す。
　■インプット
　　前段の工程で作成された成果物のこと。
3. テストケースの作成
  テスト項目を実際に実施できるレベルまで具体化する。
　■テストケース
　　テスト項目に対して、具体的な入力値や期待結果を定義したもの。</t>
    <rPh sb="3" eb="5">
      <t>セッケイ</t>
    </rPh>
    <rPh sb="6" eb="9">
      <t>ゼンタイゾウ</t>
    </rPh>
    <rPh sb="10" eb="12">
      <t>セツメイ</t>
    </rPh>
    <rPh sb="17" eb="19">
      <t>テジュン</t>
    </rPh>
    <rPh sb="48" eb="50">
      <t>カンテン</t>
    </rPh>
    <rPh sb="51" eb="53">
      <t>ヒョウジュン</t>
    </rPh>
    <rPh sb="59" eb="61">
      <t>カンテン</t>
    </rPh>
    <rPh sb="85" eb="87">
      <t>カンテン</t>
    </rPh>
    <rPh sb="88" eb="90">
      <t>ヒョウジュン</t>
    </rPh>
    <rPh sb="114" eb="116">
      <t>テイギ</t>
    </rPh>
    <rPh sb="247" eb="249">
      <t>ヒョウジュン</t>
    </rPh>
    <rPh sb="368" eb="370">
      <t>ゼンダン</t>
    </rPh>
    <phoneticPr fontId="3"/>
  </si>
  <si>
    <t>ツアー予約アプリケーションを例に全体を説明する。
※角丸の四角は業務ルール</t>
    <rPh sb="14" eb="15">
      <t>レイ</t>
    </rPh>
    <rPh sb="16" eb="18">
      <t>ゼンタイ</t>
    </rPh>
    <rPh sb="19" eb="21">
      <t>セツメイ</t>
    </rPh>
    <rPh sb="26" eb="27">
      <t>カド</t>
    </rPh>
    <rPh sb="27" eb="28">
      <t>マル</t>
    </rPh>
    <rPh sb="29" eb="31">
      <t>シカク</t>
    </rPh>
    <rPh sb="32" eb="34">
      <t>ギョウム</t>
    </rPh>
    <phoneticPr fontId="3"/>
  </si>
  <si>
    <t>テスト技法とは、「効率的かつ効果的にテストケースを作成するための手法」のこと。
・ブラックボックステスト技法
・ホワイトボックステスト技法
・経験ベースのテスト技法</t>
    <phoneticPr fontId="3"/>
  </si>
  <si>
    <t>ブラックボックステスト技法とは、「テスト対象の内部構造や実装内容を考慮せず、入力に対する出力や振る舞いを検証するテスト技法」のこと。
■種類
　・同値分割法
　・境界値分析
　・ディシジョンテーブルテスト
　・状態遷移テスト</t>
    <phoneticPr fontId="3"/>
  </si>
  <si>
    <t>ディシジョンテーブルテストとは、「ディシジョンテーブル（条件と動作の組み合わせ表）を用いて、複数の条件の組み合わせに対する動作をテストする技法」のこと。
ツアー予約の例で説明する。
■条件
・開始日
・人数
・空き数
■動作
・予約完了
・予約不可
これらの組み合わせを使用した、テストケースを作成する。</t>
    <rPh sb="81" eb="83">
      <t>ヨヤク</t>
    </rPh>
    <rPh sb="84" eb="85">
      <t>レイ</t>
    </rPh>
    <rPh sb="86" eb="88">
      <t>セツメイ</t>
    </rPh>
    <rPh sb="93" eb="95">
      <t>ジョウケン</t>
    </rPh>
    <rPh sb="97" eb="100">
      <t>カイシビ</t>
    </rPh>
    <rPh sb="102" eb="104">
      <t>ニンズウ</t>
    </rPh>
    <rPh sb="106" eb="107">
      <t>ア</t>
    </rPh>
    <rPh sb="108" eb="109">
      <t>スウ</t>
    </rPh>
    <rPh sb="111" eb="113">
      <t>ドウサ</t>
    </rPh>
    <rPh sb="115" eb="117">
      <t>ヨヤク</t>
    </rPh>
    <rPh sb="117" eb="119">
      <t>カンリョウ</t>
    </rPh>
    <rPh sb="121" eb="123">
      <t>ヨヤク</t>
    </rPh>
    <rPh sb="123" eb="125">
      <t>フカ</t>
    </rPh>
    <rPh sb="131" eb="132">
      <t>ク</t>
    </rPh>
    <rPh sb="133" eb="134">
      <t>ア</t>
    </rPh>
    <rPh sb="137" eb="139">
      <t>シヨウ</t>
    </rPh>
    <rPh sb="149" eb="151">
      <t>サクセイ</t>
    </rPh>
    <phoneticPr fontId="3"/>
  </si>
  <si>
    <t>境界値分析とは、「同値クラスの境界値（範囲の端にある値）に着目し、テストケースを作成する技法」のこと。
「開始日」の例で説明する。
■境界値の選定
・無効値と有効値A
・有効値Aと有効値B
境界値を使用した、テストケースを作成する。</t>
    <rPh sb="68" eb="71">
      <t>キョウカイチ</t>
    </rPh>
    <rPh sb="72" eb="74">
      <t>センテイ</t>
    </rPh>
    <rPh sb="97" eb="100">
      <t>キョウカイチ</t>
    </rPh>
    <rPh sb="101" eb="103">
      <t>シヨウ</t>
    </rPh>
    <phoneticPr fontId="3"/>
  </si>
  <si>
    <t>同値分割法とは、「同じ結果となる入力値をグループ化し、その代表値を用いて効率的にテストケースを作成する技法」のこと。
同値クラス：テスト対象において同じように処理される入力値のグループ
代表値：同値クラスを代表してテストに使用する値
「開始日」の例で説明する。
■同値クラスの分割
・無効値：過去
・有効値A：未来（早期割なし）
・有効値B：未来（早期割あり）
■代表値の選定
真ん中の日付
代表値を使用した、テストケースを作成する。</t>
    <rPh sb="59" eb="61">
      <t>ドウチ</t>
    </rPh>
    <rPh sb="93" eb="95">
      <t>ダイヒョウ</t>
    </rPh>
    <rPh sb="95" eb="96">
      <t>アタイ</t>
    </rPh>
    <rPh sb="97" eb="99">
      <t>ドウチ</t>
    </rPh>
    <rPh sb="126" eb="128">
      <t>セツメイ</t>
    </rPh>
    <rPh sb="133" eb="135">
      <t>ドウチ</t>
    </rPh>
    <rPh sb="139" eb="141">
      <t>ブンカツ</t>
    </rPh>
    <rPh sb="151" eb="153">
      <t>ユウコウ</t>
    </rPh>
    <rPh sb="153" eb="154">
      <t>アタイ</t>
    </rPh>
    <rPh sb="156" eb="158">
      <t>ミライ</t>
    </rPh>
    <rPh sb="184" eb="186">
      <t>ダイヒョウ</t>
    </rPh>
    <rPh sb="186" eb="187">
      <t>アタイ</t>
    </rPh>
    <rPh sb="188" eb="190">
      <t>センテイ</t>
    </rPh>
    <rPh sb="191" eb="192">
      <t>マ</t>
    </rPh>
    <rPh sb="193" eb="194">
      <t>ナカ</t>
    </rPh>
    <rPh sb="195" eb="197">
      <t>ヒヅケ</t>
    </rPh>
    <rPh sb="199" eb="202">
      <t>ダイヒョウアタイ</t>
    </rPh>
    <rPh sb="203" eb="205">
      <t>シヨウ</t>
    </rPh>
    <rPh sb="215" eb="217">
      <t>サクセイ</t>
    </rPh>
    <phoneticPr fontId="3"/>
  </si>
  <si>
    <t>状態遷移テスト、「システムの状態と状態間の遷移を基にテストケースを作成する技法」のこと。
※遷移前状態、イベント、遷移後状態の関係を状態遷移図や状態遷移表で整理し、テスト項目を作成する。</t>
    <phoneticPr fontId="3"/>
  </si>
  <si>
    <t>ホワイトボックステスト技法とは、「テスト対象の内部構造に基づいてテストケースを作成し、プログラムの処理経路を検証するテスト技法」のこと。
■種類
　・ステートメントテスト
　・ブランチテスト</t>
    <phoneticPr fontId="3"/>
  </si>
  <si>
    <t>コードカバレッジとは、「テスト対象範囲において、実施したテストによってプログラムコードのどの程度が実行されたかを示す指標」のこと。
ホワイトボックステストにおいて、テストの網羅性を評価するための基準として利用される。
■主なカバレッジ基準
　・命令網羅（C0）
　　全ての命令を最低1回は実行する
　・分岐網羅（C1）
　　全ての分岐の結果（True/False）を最低1回は実行する
　・条件網羅（C2）
　　条件式を構成する各条件が、TrueとFalseの両方になるように実行する</t>
    <phoneticPr fontId="3"/>
  </si>
  <si>
    <t>ステートメントテストとは、「命令網羅（C0）の達成を目的として、全てのステートメント（命令文）が少なくとも1回実行されるようにテストケースを作成する技法」のこと。</t>
    <phoneticPr fontId="3"/>
  </si>
  <si>
    <t>ブランチテストとは、「分岐網羅（C1）の達成を目的として、全ての分岐の結果（True/False）が少なくとも1回実行されるようにテストケースを作成する技法」のこと。</t>
    <phoneticPr fontId="3"/>
  </si>
  <si>
    <t>コンディションテストとは、「条件網羅（C2）の達成を目的として、条件式を構成する全ての条件がTrueとFalseの両方になるようにテストケースを作成する技法」のこと。</t>
    <phoneticPr fontId="3"/>
  </si>
  <si>
    <t>経験ベースの技法とは、「テスト担当者の知識や経験を基に、テストケースを作成する技法」のこと。
※過去の障害事例や経験を活用することで、潜在的な欠陥を効率的に発見できる。
■種類
　・エラー推測
　・探索的テスト
　・チェックリストベースドテスト</t>
    <phoneticPr fontId="3"/>
  </si>
  <si>
    <t>スタブとドライバの違いを説明する。
・ドライバ
　テスト対象（被テストモジュール）を呼び出すために使用する模倣オブジェクト。上位モジュールの代わりとなり、テスト対象を制御する。
・スタブ
　テスト対象から呼び出される下位モジュールの代わりに使用する模倣オブジェクト。固定の戻り値などを返してテストを支援する。</t>
    <rPh sb="9" eb="10">
      <t>チガ</t>
    </rPh>
    <rPh sb="12" eb="14">
      <t>セツメイ</t>
    </rPh>
    <phoneticPr fontId="3"/>
  </si>
  <si>
    <t xml:space="preserve">スタブとモックの違いを説明する。
・スタブ
　テスト対象が依存する下位モジュールの代わりとなり、固定の値を返す模倣オブジェクト。
・モック
　テスト対象の振る舞いを検証するために、呼び出し内容や回数などを確認できる模倣オブジェクト。
</t>
    <rPh sb="8" eb="9">
      <t>チガ</t>
    </rPh>
    <rPh sb="11" eb="13">
      <t>セツメイ</t>
    </rPh>
    <phoneticPr fontId="3"/>
  </si>
  <si>
    <t>JUnitとは、「Javaプログラミング言語向けの標準的な単体テストフレームワーク」のこと。
テストコードを作成して実行することで、繰り返し実行可能なテストを効率的に行うことができる。</t>
    <phoneticPr fontId="3"/>
  </si>
  <si>
    <t>続き</t>
    <rPh sb="0" eb="1">
      <t>ツヅ</t>
    </rPh>
    <phoneticPr fontId="3"/>
  </si>
  <si>
    <t>[構造理解] Webアプリケーションで必要なもの  ※再掲</t>
    <phoneticPr fontId="3"/>
  </si>
  <si>
    <t>テストクラスを作成する単位</t>
    <phoneticPr fontId="22"/>
  </si>
  <si>
    <t>JUnitで単体テスト</t>
    <phoneticPr fontId="22"/>
  </si>
  <si>
    <t>バイブコーディングで単体テスト – はじめに</t>
    <phoneticPr fontId="22"/>
  </si>
  <si>
    <t>バイブコーディング単体テスト❶ テスト項目表を作る</t>
    <phoneticPr fontId="22"/>
  </si>
  <si>
    <t>バイブコーディング単体テスト➋ Repositoryのテストを作る</t>
    <phoneticPr fontId="22"/>
  </si>
  <si>
    <t>[解説] Repositoryのテストクラス（抜粋）</t>
    <phoneticPr fontId="22"/>
  </si>
  <si>
    <t>バイブコーディング単体テスト➌ Serviceのテストを作る</t>
    <phoneticPr fontId="22"/>
  </si>
  <si>
    <t>[解説] Serviceのテストクラス（抜粋）</t>
    <phoneticPr fontId="22"/>
  </si>
  <si>
    <t>バイブコーディング単体テスト❹ Controllerのテストを作る</t>
    <phoneticPr fontId="22"/>
  </si>
  <si>
    <t>[解説] Controllerのテストクラス（抜粋）</t>
    <phoneticPr fontId="22"/>
  </si>
  <si>
    <t>バイブコーディングで単体テスト(JUnit)</t>
    <phoneticPr fontId="3"/>
  </si>
  <si>
    <t>ここから各自で演習を始めましょう。</t>
    <phoneticPr fontId="22"/>
  </si>
  <si>
    <t>バイブコーディングで単体テスト(JUnit)：演習</t>
    <rPh sb="23" eb="25">
      <t>エンシュウ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</si>
</sst>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b/>
      <sz val="9"/>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sz val="6"/>
      <name val="ＭＳ Ｐゴシック"/>
      <family val="2"/>
      <charset val="128"/>
      <scheme val="minor"/>
    </font>
    <font>
      <b/>
      <sz val="11"/>
      <name val="ＭＳ Ｐゴシック"/>
      <family val="3"/>
      <charset val="128"/>
    </font>
  </fonts>
  <fills count="11">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4" tint="0.59999389629810485"/>
        <bgColor indexed="64"/>
      </patternFill>
    </fill>
    <fill>
      <patternFill patternType="solid">
        <fgColor theme="0" tint="-0.149998474074526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41">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3" fillId="0" borderId="0" xfId="0" applyFont="1" applyAlignment="1">
      <alignment horizontal="center" vertical="center"/>
    </xf>
    <xf numFmtId="0" fontId="15" fillId="0" borderId="0" xfId="0" applyFont="1" applyAlignment="1">
      <alignment horizontal="center" vertical="center"/>
    </xf>
    <xf numFmtId="0" fontId="13"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6" borderId="1" xfId="0" applyFont="1" applyFill="1" applyBorder="1" applyAlignment="1">
      <alignment horizontal="left" vertical="top" wrapText="1"/>
    </xf>
    <xf numFmtId="0" fontId="11" fillId="0" borderId="0" xfId="0" applyFont="1" applyAlignment="1">
      <alignment horizontal="left" vertical="center"/>
    </xf>
    <xf numFmtId="0" fontId="5" fillId="0" borderId="0" xfId="0" applyFont="1" applyAlignment="1">
      <alignment horizontal="center" vertical="center" wrapText="1"/>
    </xf>
    <xf numFmtId="0" fontId="5" fillId="0" borderId="11" xfId="0" applyFont="1" applyBorder="1">
      <alignment vertical="center"/>
    </xf>
    <xf numFmtId="0" fontId="18" fillId="0" borderId="0" xfId="0" applyFont="1" applyAlignment="1">
      <alignment horizontal="left" vertical="center"/>
    </xf>
    <xf numFmtId="20" fontId="5" fillId="0" borderId="0" xfId="0" applyNumberFormat="1" applyFont="1" applyAlignment="1">
      <alignment horizontal="center" vertical="top"/>
    </xf>
    <xf numFmtId="20" fontId="16" fillId="0" borderId="0" xfId="0" applyNumberFormat="1" applyFont="1" applyAlignment="1">
      <alignment horizontal="center" vertical="top"/>
    </xf>
    <xf numFmtId="0" fontId="15"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2" fillId="3" borderId="1" xfId="0" applyFont="1" applyFill="1" applyBorder="1" applyAlignment="1">
      <alignment horizontal="center" vertical="center" wrapText="1"/>
    </xf>
    <xf numFmtId="0" fontId="20" fillId="0" borderId="12" xfId="3" applyFont="1" applyFill="1" applyBorder="1" applyAlignment="1">
      <alignment vertical="center" wrapText="1"/>
    </xf>
    <xf numFmtId="0" fontId="20" fillId="0" borderId="0" xfId="3" applyFont="1" applyFill="1" applyBorder="1" applyAlignment="1">
      <alignment vertical="center" wrapText="1"/>
    </xf>
    <xf numFmtId="0" fontId="21"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7" borderId="1" xfId="0" applyFont="1" applyFill="1" applyBorder="1">
      <alignment vertical="center"/>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6" fillId="0" borderId="8" xfId="0" applyNumberFormat="1" applyFont="1" applyBorder="1" applyAlignment="1">
      <alignment vertical="top"/>
    </xf>
    <xf numFmtId="20" fontId="16" fillId="0" borderId="9" xfId="0" applyNumberFormat="1" applyFont="1" applyBorder="1" applyAlignment="1">
      <alignment vertical="top"/>
    </xf>
    <xf numFmtId="20" fontId="16" fillId="0" borderId="10" xfId="0" applyNumberFormat="1" applyFont="1" applyBorder="1" applyAlignment="1">
      <alignment vertical="top"/>
    </xf>
    <xf numFmtId="0" fontId="18" fillId="8"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0" borderId="0" xfId="0" applyNumberFormat="1" applyFont="1" applyAlignment="1">
      <alignment horizontal="center"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6" borderId="1" xfId="0" applyFont="1" applyFill="1" applyBorder="1" applyAlignment="1">
      <alignment horizontal="center" vertical="top" wrapText="1"/>
    </xf>
    <xf numFmtId="0" fontId="5" fillId="6" borderId="5" xfId="0" applyFont="1" applyFill="1" applyBorder="1" applyAlignment="1">
      <alignment horizontal="center" vertical="top" wrapText="1"/>
    </xf>
    <xf numFmtId="0" fontId="5" fillId="4" borderId="1" xfId="0" applyFont="1" applyFill="1" applyBorder="1" applyAlignment="1">
      <alignment horizontal="left" vertical="top" wrapText="1"/>
    </xf>
    <xf numFmtId="20" fontId="5" fillId="0" borderId="10" xfId="0" applyNumberFormat="1" applyFont="1" applyBorder="1">
      <alignment vertical="center"/>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vertical="center" wrapText="1"/>
    </xf>
    <xf numFmtId="20" fontId="16" fillId="0" borderId="12" xfId="0" applyNumberFormat="1" applyFont="1" applyBorder="1" applyAlignment="1">
      <alignment vertical="top"/>
    </xf>
    <xf numFmtId="20" fontId="5" fillId="0" borderId="12" xfId="0" applyNumberFormat="1" applyFont="1" applyBorder="1" applyAlignment="1">
      <alignment horizontal="right" vertical="top"/>
    </xf>
    <xf numFmtId="20" fontId="16" fillId="0" borderId="12" xfId="0" applyNumberFormat="1" applyFont="1" applyBorder="1" applyAlignment="1">
      <alignment horizontal="right" vertical="top"/>
    </xf>
    <xf numFmtId="20" fontId="16" fillId="0" borderId="14" xfId="0" applyNumberFormat="1" applyFont="1" applyBorder="1" applyAlignment="1">
      <alignment vertical="top"/>
    </xf>
    <xf numFmtId="0" fontId="5" fillId="5" borderId="10" xfId="0" applyFont="1" applyFill="1" applyBorder="1" applyAlignment="1">
      <alignment vertical="top" wrapText="1"/>
    </xf>
    <xf numFmtId="0" fontId="5" fillId="5" borderId="9" xfId="0" applyFont="1" applyFill="1" applyBorder="1" applyAlignment="1">
      <alignment vertical="top" wrapText="1"/>
    </xf>
    <xf numFmtId="0" fontId="5" fillId="6" borderId="0" xfId="3" applyFont="1" applyFill="1" applyBorder="1" applyAlignment="1">
      <alignment horizontal="left" vertical="top" wrapText="1"/>
    </xf>
    <xf numFmtId="20" fontId="5" fillId="6" borderId="1" xfId="0" applyNumberFormat="1" applyFont="1" applyFill="1" applyBorder="1" applyAlignment="1">
      <alignment horizontal="right" vertical="top" wrapText="1"/>
    </xf>
    <xf numFmtId="20" fontId="5" fillId="6" borderId="5"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0" fontId="5" fillId="5" borderId="15" xfId="0" applyFont="1" applyFill="1" applyBorder="1" applyAlignment="1">
      <alignment vertical="top" wrapText="1"/>
    </xf>
    <xf numFmtId="0" fontId="5" fillId="5" borderId="8" xfId="0" applyFont="1" applyFill="1" applyBorder="1" applyAlignment="1">
      <alignment vertical="top" wrapText="1"/>
    </xf>
    <xf numFmtId="20" fontId="5" fillId="0" borderId="8" xfId="0" applyNumberFormat="1" applyFont="1" applyBorder="1" applyAlignment="1">
      <alignment vertical="top"/>
    </xf>
    <xf numFmtId="0" fontId="5" fillId="0" borderId="1" xfId="0" applyFont="1" applyBorder="1" applyAlignment="1">
      <alignment horizontal="left" vertical="center"/>
    </xf>
    <xf numFmtId="0" fontId="5" fillId="0" borderId="1" xfId="0" quotePrefix="1" applyFont="1" applyBorder="1">
      <alignment vertical="center"/>
    </xf>
    <xf numFmtId="0" fontId="5" fillId="9" borderId="1" xfId="0" applyFont="1" applyFill="1" applyBorder="1" applyAlignment="1">
      <alignment horizontal="left" vertical="top" wrapText="1"/>
    </xf>
    <xf numFmtId="0" fontId="5" fillId="9" borderId="1" xfId="0" applyFont="1" applyFill="1" applyBorder="1" applyAlignment="1">
      <alignment horizontal="left" vertical="top"/>
    </xf>
    <xf numFmtId="20" fontId="5" fillId="9" borderId="1" xfId="0" applyNumberFormat="1" applyFont="1" applyFill="1" applyBorder="1" applyAlignment="1">
      <alignment horizontal="center" vertical="top"/>
    </xf>
    <xf numFmtId="20" fontId="5" fillId="9" borderId="1" xfId="0" applyNumberFormat="1" applyFont="1" applyFill="1" applyBorder="1" applyAlignment="1">
      <alignment horizontal="right" vertical="top"/>
    </xf>
    <xf numFmtId="0" fontId="18" fillId="9" borderId="1" xfId="0" applyFont="1" applyFill="1" applyBorder="1" applyAlignment="1">
      <alignment horizontal="left" vertical="top" wrapText="1"/>
    </xf>
    <xf numFmtId="0" fontId="5" fillId="6" borderId="3" xfId="3" applyFont="1" applyFill="1" applyBorder="1" applyAlignment="1">
      <alignment horizontal="left" vertical="top" wrapText="1"/>
    </xf>
    <xf numFmtId="20" fontId="5" fillId="0" borderId="10" xfId="0" applyNumberFormat="1" applyFont="1" applyBorder="1" applyAlignment="1">
      <alignment vertical="top"/>
    </xf>
    <xf numFmtId="20" fontId="5" fillId="0" borderId="9" xfId="0" applyNumberFormat="1" applyFont="1" applyBorder="1" applyAlignment="1">
      <alignment vertical="top"/>
    </xf>
    <xf numFmtId="0" fontId="5" fillId="4" borderId="1" xfId="0" applyFont="1" applyFill="1" applyBorder="1" applyAlignment="1">
      <alignment vertical="top"/>
    </xf>
    <xf numFmtId="0" fontId="5" fillId="4" borderId="8" xfId="0" applyFont="1" applyFill="1" applyBorder="1" applyAlignment="1">
      <alignment vertical="top"/>
    </xf>
    <xf numFmtId="0" fontId="5" fillId="4" borderId="10" xfId="0" applyFont="1" applyFill="1" applyBorder="1" applyAlignment="1">
      <alignment vertical="top"/>
    </xf>
    <xf numFmtId="0" fontId="5" fillId="4" borderId="9" xfId="0" applyFont="1" applyFill="1" applyBorder="1" applyAlignment="1">
      <alignment vertical="top"/>
    </xf>
    <xf numFmtId="0" fontId="5" fillId="6"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5" fillId="7" borderId="1" xfId="0" applyFont="1" applyFill="1" applyBorder="1" applyAlignment="1">
      <alignment vertical="center" wrapText="1"/>
    </xf>
    <xf numFmtId="20" fontId="5" fillId="0" borderId="5" xfId="0" applyNumberFormat="1" applyFont="1" applyBorder="1" applyAlignment="1">
      <alignment vertical="top"/>
    </xf>
    <xf numFmtId="0" fontId="5" fillId="4" borderId="8" xfId="0" applyFont="1" applyFill="1" applyBorder="1" applyAlignment="1">
      <alignment horizontal="center" vertical="center" textRotation="255" wrapText="1"/>
    </xf>
    <xf numFmtId="0" fontId="5" fillId="9" borderId="9" xfId="0" applyFont="1" applyFill="1" applyBorder="1" applyAlignment="1">
      <alignment vertical="center" textRotation="255"/>
    </xf>
    <xf numFmtId="0" fontId="5" fillId="9" borderId="8" xfId="0" applyFont="1" applyFill="1" applyBorder="1" applyAlignment="1">
      <alignment vertical="top" wrapText="1"/>
    </xf>
    <xf numFmtId="0" fontId="5" fillId="9" borderId="9" xfId="0" applyFont="1" applyFill="1" applyBorder="1" applyAlignment="1">
      <alignment vertical="top" wrapText="1"/>
    </xf>
    <xf numFmtId="20" fontId="5" fillId="4" borderId="1" xfId="0" applyNumberFormat="1" applyFont="1" applyFill="1" applyBorder="1" applyAlignment="1">
      <alignment horizontal="left" vertical="top" wrapText="1"/>
    </xf>
    <xf numFmtId="0" fontId="5" fillId="4" borderId="1" xfId="0" applyFont="1" applyFill="1" applyBorder="1" applyAlignment="1">
      <alignment horizontal="left" vertical="top" textRotation="255" wrapText="1"/>
    </xf>
    <xf numFmtId="20" fontId="16" fillId="0" borderId="0" xfId="0" applyNumberFormat="1" applyFont="1" applyAlignment="1">
      <alignment horizontal="center" vertical="top"/>
    </xf>
    <xf numFmtId="0" fontId="13" fillId="3"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4" fillId="3" borderId="0" xfId="0" applyFont="1" applyFill="1" applyAlignment="1">
      <alignment horizontal="center"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5" fillId="6" borderId="3" xfId="0" applyFont="1" applyFill="1" applyBorder="1" applyAlignment="1">
      <alignment horizontal="left" vertical="top" wrapText="1"/>
    </xf>
    <xf numFmtId="0" fontId="5" fillId="6" borderId="4" xfId="0" applyFont="1" applyFill="1" applyBorder="1" applyAlignment="1">
      <alignment horizontal="left" vertical="top" wrapText="1"/>
    </xf>
    <xf numFmtId="0" fontId="5" fillId="6" borderId="5" xfId="0" applyFont="1" applyFill="1" applyBorder="1" applyAlignment="1">
      <alignment horizontal="left" vertical="top" wrapText="1"/>
    </xf>
    <xf numFmtId="0" fontId="17" fillId="3" borderId="2" xfId="0" applyFont="1" applyFill="1" applyBorder="1" applyAlignment="1">
      <alignment horizontal="center" vertical="center"/>
    </xf>
    <xf numFmtId="0" fontId="20"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8" xfId="0" applyFont="1" applyFill="1" applyBorder="1" applyAlignment="1">
      <alignment horizontal="center" vertical="top" textRotation="255" wrapText="1"/>
    </xf>
    <xf numFmtId="0" fontId="5" fillId="4" borderId="9" xfId="0" applyFont="1" applyFill="1" applyBorder="1" applyAlignment="1">
      <alignment horizontal="center" vertical="top" textRotation="255" wrapText="1"/>
    </xf>
    <xf numFmtId="0" fontId="5" fillId="4" borderId="10" xfId="0" applyFont="1" applyFill="1" applyBorder="1" applyAlignment="1">
      <alignment horizontal="center" vertical="top" textRotation="255"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5" xfId="0" applyFont="1" applyFill="1" applyBorder="1" applyAlignment="1">
      <alignment horizontal="left" vertical="top" wrapText="1"/>
    </xf>
    <xf numFmtId="0" fontId="12" fillId="3" borderId="3"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20" fillId="0" borderId="1" xfId="3" applyFont="1" applyFill="1" applyBorder="1" applyAlignment="1">
      <alignment vertical="center" wrapText="1"/>
    </xf>
    <xf numFmtId="0" fontId="5" fillId="4" borderId="8" xfId="0" applyFont="1" applyFill="1" applyBorder="1" applyAlignment="1">
      <alignment horizontal="center" vertical="center" textRotation="255"/>
    </xf>
    <xf numFmtId="0" fontId="5" fillId="4" borderId="10" xfId="0" applyFont="1" applyFill="1" applyBorder="1" applyAlignment="1">
      <alignment horizontal="center" vertical="center" textRotation="255"/>
    </xf>
    <xf numFmtId="0" fontId="5" fillId="4" borderId="9" xfId="0" applyFont="1" applyFill="1" applyBorder="1" applyAlignment="1">
      <alignment horizontal="center" vertical="center" textRotation="255"/>
    </xf>
    <xf numFmtId="0" fontId="5" fillId="9" borderId="8" xfId="0" applyFont="1" applyFill="1" applyBorder="1" applyAlignment="1">
      <alignment horizontal="center" vertical="center" textRotation="255"/>
    </xf>
    <xf numFmtId="0" fontId="5" fillId="9" borderId="10" xfId="0" applyFont="1" applyFill="1" applyBorder="1" applyAlignment="1">
      <alignment horizontal="center" vertical="center" textRotation="255"/>
    </xf>
    <xf numFmtId="0" fontId="5" fillId="9" borderId="9" xfId="0" applyFont="1" applyFill="1" applyBorder="1" applyAlignment="1">
      <alignment horizontal="center" vertical="center" textRotation="255"/>
    </xf>
    <xf numFmtId="0" fontId="0" fillId="0" borderId="0" xfId="0" applyAlignment="1">
      <alignment horizontal="left" vertical="top"/>
    </xf>
    <xf numFmtId="0" fontId="0" fillId="0" borderId="0" xfId="0" applyFont="1">
      <alignment vertical="center"/>
    </xf>
    <xf numFmtId="0" fontId="23" fillId="0" borderId="0" xfId="0" applyFont="1">
      <alignment vertical="center"/>
    </xf>
    <xf numFmtId="0" fontId="0" fillId="10" borderId="0" xfId="0" applyFont="1" applyFill="1">
      <alignment vertical="center"/>
    </xf>
    <xf numFmtId="20" fontId="0" fillId="0" borderId="0" xfId="0" applyNumberFormat="1" applyFont="1" applyAlignment="1">
      <alignment horizontal="left" vertical="top"/>
    </xf>
    <xf numFmtId="20" fontId="0" fillId="0" borderId="0" xfId="0" applyNumberFormat="1" applyFont="1" applyAlignment="1">
      <alignment horizontal="left" vertical="top" wrapText="1"/>
    </xf>
    <xf numFmtId="0" fontId="0" fillId="0" borderId="0" xfId="0" applyFont="1" applyAlignment="1">
      <alignment horizontal="left" vertical="top"/>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4"/>
  <sheetViews>
    <sheetView showGridLines="0" tabSelected="1" view="pageBreakPreview" zoomScaleNormal="115" zoomScaleSheetLayoutView="100" workbookViewId="0">
      <selection activeCell="E11" sqref="E11"/>
    </sheetView>
  </sheetViews>
  <sheetFormatPr defaultColWidth="9" defaultRowHeight="15"/>
  <cols>
    <col min="1" max="1" width="7" style="1" bestFit="1" customWidth="1"/>
    <col min="2" max="2" width="7.33203125" style="16" bestFit="1" customWidth="1"/>
    <col min="3" max="3" width="45" style="1" bestFit="1" customWidth="1"/>
    <col min="4" max="4" width="7.33203125" style="1" customWidth="1"/>
    <col min="5" max="5" width="45" style="1" customWidth="1"/>
    <col min="6" max="6" width="5.6640625" style="1" bestFit="1" customWidth="1"/>
    <col min="7" max="7" width="20.6640625" style="1" customWidth="1"/>
    <col min="8" max="8" width="5" style="1" customWidth="1"/>
    <col min="9" max="16384" width="9" style="6"/>
  </cols>
  <sheetData>
    <row r="2" spans="1:8" ht="27">
      <c r="A2" s="13"/>
      <c r="B2" s="100" t="str">
        <f>"コースプラン/インストラクションガイド 「"&amp;master!$B$1&amp;"_IG」"</f>
        <v>コースプラン/インストラクションガイド 「AI Native-バイブコーディング_IG」</v>
      </c>
      <c r="C2" s="100"/>
      <c r="D2" s="100"/>
      <c r="E2" s="100"/>
      <c r="F2" s="100"/>
      <c r="G2" s="100"/>
    </row>
    <row r="3" spans="1:8" ht="27.6" thickBot="1">
      <c r="A3" s="13"/>
      <c r="B3" s="15"/>
      <c r="C3" s="13"/>
      <c r="D3" s="13"/>
      <c r="E3" s="13"/>
      <c r="F3" s="13"/>
      <c r="G3" s="13"/>
    </row>
    <row r="4" spans="1:8" ht="27.6" thickBot="1">
      <c r="A4" s="13"/>
      <c r="B4" s="101" t="s">
        <v>12</v>
      </c>
      <c r="C4" s="102"/>
      <c r="D4" s="13"/>
      <c r="E4" s="13"/>
      <c r="F4" s="13"/>
      <c r="G4" s="13"/>
    </row>
    <row r="5" spans="1:8" ht="27.6" thickBot="1">
      <c r="A5" s="13"/>
      <c r="B5" s="103"/>
      <c r="C5" s="104"/>
      <c r="D5" s="13"/>
      <c r="E5" s="13"/>
      <c r="F5" s="13"/>
      <c r="G5" s="13"/>
    </row>
    <row r="7" spans="1:8" ht="16.2">
      <c r="B7" s="105" t="s">
        <v>2</v>
      </c>
      <c r="C7" s="105"/>
    </row>
    <row r="9" spans="1:8">
      <c r="B9" s="27"/>
      <c r="C9" s="27" t="s">
        <v>0</v>
      </c>
      <c r="G9" s="14"/>
    </row>
    <row r="10" spans="1:8" ht="14.25" customHeight="1">
      <c r="A10" s="40">
        <v>0.39583333333333331</v>
      </c>
      <c r="B10" s="17">
        <v>0.39583333333333331</v>
      </c>
      <c r="C10" s="87" t="s">
        <v>3</v>
      </c>
      <c r="G10" s="14" t="s">
        <v>13</v>
      </c>
    </row>
    <row r="11" spans="1:8">
      <c r="A11" s="42"/>
      <c r="B11" s="72">
        <v>0.40625</v>
      </c>
      <c r="C11" s="84" t="str">
        <f>master!B3</f>
        <v>講義の目的</v>
      </c>
      <c r="G11" s="14"/>
    </row>
    <row r="12" spans="1:8">
      <c r="A12" s="40">
        <v>0.41666666666666669</v>
      </c>
      <c r="B12" s="81"/>
      <c r="C12" s="85"/>
      <c r="G12" s="14" t="s">
        <v>13</v>
      </c>
    </row>
    <row r="13" spans="1:8">
      <c r="A13" s="41"/>
      <c r="B13" s="82"/>
      <c r="C13" s="86"/>
      <c r="F13" s="26"/>
      <c r="H13" s="6"/>
    </row>
    <row r="14" spans="1:8">
      <c r="A14" s="41"/>
      <c r="B14" s="40">
        <v>0.4375</v>
      </c>
      <c r="C14" s="84" t="str">
        <f>master!B4</f>
        <v>Webアプリケーションとは</v>
      </c>
      <c r="F14" s="99"/>
      <c r="H14" s="6"/>
    </row>
    <row r="15" spans="1:8">
      <c r="A15" s="42"/>
      <c r="B15" s="56" t="s">
        <v>31</v>
      </c>
      <c r="C15" s="85"/>
      <c r="F15" s="99"/>
      <c r="H15" s="6"/>
    </row>
    <row r="16" spans="1:8">
      <c r="A16" s="40">
        <v>0.45833333333333331</v>
      </c>
      <c r="B16" s="44"/>
      <c r="C16" s="86"/>
      <c r="F16" s="99"/>
      <c r="H16" s="6"/>
    </row>
    <row r="17" spans="1:8">
      <c r="A17" s="41"/>
      <c r="B17" s="43">
        <v>0.46875</v>
      </c>
      <c r="C17" s="84">
        <f>master!B13</f>
        <v>0</v>
      </c>
      <c r="F17" s="99"/>
      <c r="H17" s="6"/>
    </row>
    <row r="18" spans="1:8">
      <c r="A18" s="41"/>
      <c r="B18" s="44"/>
      <c r="C18" s="86"/>
      <c r="F18" s="99"/>
      <c r="H18" s="6"/>
    </row>
    <row r="19" spans="1:8">
      <c r="A19" s="42"/>
      <c r="B19" s="45">
        <v>0.48958333333333331</v>
      </c>
      <c r="C19" s="83">
        <f>master!B18</f>
        <v>0</v>
      </c>
      <c r="F19" s="99"/>
      <c r="H19" s="6"/>
    </row>
    <row r="20" spans="1:8">
      <c r="A20" s="69">
        <v>0.5</v>
      </c>
      <c r="B20" s="69">
        <v>0.5</v>
      </c>
      <c r="C20" s="84">
        <f>master!B23</f>
        <v>0</v>
      </c>
      <c r="F20" s="99"/>
      <c r="H20" s="6"/>
    </row>
    <row r="21" spans="1:8">
      <c r="A21" s="61"/>
      <c r="B21" s="63"/>
      <c r="C21" s="86"/>
      <c r="F21" s="99"/>
      <c r="H21" s="6"/>
    </row>
    <row r="22" spans="1:8">
      <c r="A22" s="41"/>
      <c r="B22" s="41">
        <v>0.52083333333333337</v>
      </c>
      <c r="C22" s="88" t="s">
        <v>1</v>
      </c>
      <c r="F22" s="25"/>
      <c r="G22" s="10"/>
      <c r="H22" s="6"/>
    </row>
    <row r="23" spans="1:8">
      <c r="A23" s="42"/>
      <c r="B23" s="41" t="s">
        <v>31</v>
      </c>
      <c r="C23" s="89"/>
      <c r="F23" s="25"/>
      <c r="G23" s="10"/>
      <c r="H23" s="6"/>
    </row>
    <row r="24" spans="1:8">
      <c r="A24" s="40">
        <v>0.54166666666666663</v>
      </c>
      <c r="B24" s="41" t="s">
        <v>31</v>
      </c>
      <c r="C24" s="89"/>
      <c r="F24" s="25"/>
      <c r="G24" s="10"/>
      <c r="H24" s="6"/>
    </row>
    <row r="25" spans="1:8">
      <c r="A25" s="41"/>
      <c r="B25" s="42" t="s">
        <v>31</v>
      </c>
      <c r="C25" s="90"/>
      <c r="F25" s="25"/>
      <c r="G25" s="10"/>
      <c r="H25" s="6"/>
    </row>
    <row r="26" spans="1:8">
      <c r="A26" s="41"/>
      <c r="B26" s="45">
        <v>0.5625</v>
      </c>
      <c r="C26" s="86"/>
      <c r="F26" s="99"/>
      <c r="G26" s="14"/>
      <c r="H26" s="6"/>
    </row>
    <row r="27" spans="1:8">
      <c r="A27" s="42"/>
      <c r="B27" s="43">
        <v>0.57291666666666663</v>
      </c>
      <c r="C27" s="84" t="e">
        <f>master!#REF!</f>
        <v>#REF!</v>
      </c>
      <c r="F27" s="99"/>
      <c r="G27" s="14"/>
      <c r="H27" s="6"/>
    </row>
    <row r="28" spans="1:8">
      <c r="A28" s="40">
        <v>0.58333333333333337</v>
      </c>
      <c r="B28" s="44"/>
      <c r="C28" s="86"/>
      <c r="F28" s="99"/>
      <c r="H28" s="6"/>
    </row>
    <row r="29" spans="1:8">
      <c r="A29" s="41"/>
      <c r="B29" s="43">
        <v>0.59375</v>
      </c>
      <c r="C29" s="71" t="e">
        <f>master!#REF!</f>
        <v>#REF!</v>
      </c>
      <c r="D29" s="60"/>
      <c r="E29" s="57"/>
      <c r="F29" s="99"/>
      <c r="H29" s="6"/>
    </row>
    <row r="30" spans="1:8">
      <c r="A30" s="41"/>
      <c r="B30" s="45"/>
      <c r="C30" s="64"/>
      <c r="D30" s="60"/>
      <c r="E30" s="57"/>
      <c r="F30" s="99"/>
      <c r="H30" s="6"/>
    </row>
    <row r="31" spans="1:8">
      <c r="A31" s="42"/>
      <c r="B31" s="45"/>
      <c r="C31" s="64"/>
      <c r="D31" s="60"/>
      <c r="E31" s="11"/>
      <c r="F31" s="99"/>
      <c r="H31" s="6"/>
    </row>
    <row r="32" spans="1:8">
      <c r="A32" s="69">
        <v>0.625</v>
      </c>
      <c r="B32" s="45"/>
      <c r="C32" s="64"/>
      <c r="D32" s="60"/>
      <c r="E32" s="11"/>
      <c r="F32" s="99"/>
      <c r="H32" s="6"/>
    </row>
    <row r="33" spans="1:8">
      <c r="A33" s="61"/>
      <c r="B33" s="44"/>
      <c r="C33" s="64"/>
      <c r="D33" s="60"/>
      <c r="E33" s="57"/>
      <c r="F33" s="99"/>
      <c r="H33" s="6"/>
    </row>
    <row r="34" spans="1:8">
      <c r="A34" s="61"/>
      <c r="B34" s="43">
        <v>0.60416666666666663</v>
      </c>
      <c r="C34" s="71" t="e">
        <f>master!#REF!</f>
        <v>#REF!</v>
      </c>
      <c r="D34" s="60"/>
      <c r="E34" s="57"/>
      <c r="F34" s="99"/>
      <c r="H34" s="6"/>
    </row>
    <row r="35" spans="1:8">
      <c r="A35" s="42"/>
      <c r="B35" s="45"/>
      <c r="C35" s="64"/>
      <c r="D35" s="60"/>
      <c r="E35" s="57"/>
      <c r="F35" s="99"/>
      <c r="H35" s="6"/>
    </row>
    <row r="36" spans="1:8">
      <c r="A36" s="40">
        <v>0.66666666666666663</v>
      </c>
      <c r="B36" s="45"/>
      <c r="C36" s="64"/>
      <c r="D36" s="60"/>
      <c r="E36" s="11"/>
      <c r="F36" s="99"/>
      <c r="H36" s="6"/>
    </row>
    <row r="37" spans="1:8">
      <c r="A37" s="41"/>
      <c r="B37" s="45"/>
      <c r="C37" s="64"/>
      <c r="D37" s="60"/>
      <c r="E37" s="11"/>
      <c r="F37" s="99"/>
      <c r="H37" s="6"/>
    </row>
    <row r="38" spans="1:8">
      <c r="A38" s="41"/>
      <c r="B38" s="45"/>
      <c r="C38" s="64"/>
      <c r="D38" s="60"/>
      <c r="E38" s="11"/>
      <c r="F38" s="99"/>
      <c r="H38" s="6"/>
    </row>
    <row r="39" spans="1:8">
      <c r="A39" s="41"/>
      <c r="B39" s="44"/>
      <c r="C39" s="70"/>
      <c r="D39" s="60"/>
      <c r="E39" s="11"/>
      <c r="F39" s="99"/>
      <c r="H39" s="6"/>
    </row>
    <row r="40" spans="1:8">
      <c r="A40" s="43">
        <v>0.70833333333333337</v>
      </c>
      <c r="B40" s="43">
        <v>0.70833333333333337</v>
      </c>
      <c r="C40" s="64" t="s">
        <v>62</v>
      </c>
      <c r="D40" s="60"/>
      <c r="E40" s="57"/>
      <c r="F40" s="99"/>
      <c r="H40" s="6"/>
    </row>
    <row r="41" spans="1:8">
      <c r="A41" s="41"/>
      <c r="B41" s="45"/>
      <c r="C41" s="64"/>
      <c r="D41" s="62"/>
      <c r="E41" s="58"/>
      <c r="F41" s="99"/>
      <c r="H41" s="6"/>
    </row>
    <row r="42" spans="1:8">
      <c r="A42" s="45"/>
      <c r="B42" s="44"/>
      <c r="C42" s="65"/>
      <c r="D42" s="60"/>
      <c r="E42" s="58"/>
      <c r="F42" s="99"/>
      <c r="H42" s="6"/>
    </row>
    <row r="43" spans="1:8" ht="14.25" customHeight="1">
      <c r="A43" s="44"/>
      <c r="B43" s="92">
        <v>0.73958333333333337</v>
      </c>
      <c r="C43" s="91" t="s">
        <v>61</v>
      </c>
      <c r="D43" s="61"/>
      <c r="E43" s="59"/>
      <c r="F43" s="25"/>
      <c r="G43" s="14" t="s">
        <v>13</v>
      </c>
    </row>
    <row r="44" spans="1:8" ht="15.6" thickBot="1">
      <c r="A44" s="6"/>
      <c r="D44" s="23"/>
      <c r="H44" s="6"/>
    </row>
  </sheetData>
  <mergeCells count="10">
    <mergeCell ref="F26:F29"/>
    <mergeCell ref="F30:F33"/>
    <mergeCell ref="F34:F37"/>
    <mergeCell ref="F38:F42"/>
    <mergeCell ref="B2:G2"/>
    <mergeCell ref="B4:C4"/>
    <mergeCell ref="B5:C5"/>
    <mergeCell ref="B7:C7"/>
    <mergeCell ref="F14:F17"/>
    <mergeCell ref="F18:F21"/>
  </mergeCells>
  <phoneticPr fontId="3"/>
  <pageMargins left="0.7" right="0.7" top="0.75" bottom="0.75" header="0.3" footer="0.3"/>
  <pageSetup paperSize="9" scale="5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4"/>
  <sheetViews>
    <sheetView showGridLines="0" view="pageBreakPreview" zoomScaleNormal="100" zoomScaleSheetLayoutView="100" workbookViewId="0"/>
  </sheetViews>
  <sheetFormatPr defaultColWidth="9" defaultRowHeight="15"/>
  <cols>
    <col min="1" max="1" width="4.33203125" style="1" customWidth="1"/>
    <col min="2" max="2" width="8.21875" style="1" customWidth="1"/>
    <col min="3" max="3" width="39.88671875" style="1" bestFit="1" customWidth="1"/>
    <col min="4" max="4" width="21.109375" style="10" bestFit="1" customWidth="1"/>
    <col min="5" max="5" width="16.33203125" style="10" customWidth="1"/>
    <col min="6" max="6" width="10.44140625" style="10" bestFit="1" customWidth="1"/>
    <col min="7" max="7" width="15.77734375" style="1" customWidth="1"/>
    <col min="8" max="8" width="8.44140625" style="30" customWidth="1"/>
    <col min="9" max="10" width="6.6640625" style="10" customWidth="1"/>
    <col min="11" max="11" width="38.44140625" style="1" customWidth="1"/>
    <col min="12" max="12" width="4.6640625" style="1" customWidth="1"/>
    <col min="13" max="16384" width="9" style="6"/>
  </cols>
  <sheetData>
    <row r="2" spans="1:12" s="34" customFormat="1" ht="36.75" customHeight="1">
      <c r="B2" s="2" t="s">
        <v>29</v>
      </c>
      <c r="C2" s="2"/>
      <c r="D2" s="35"/>
      <c r="E2" s="35"/>
      <c r="F2" s="35"/>
      <c r="G2" s="2"/>
      <c r="H2" s="28"/>
      <c r="I2" s="35"/>
      <c r="J2" s="35"/>
      <c r="K2" s="2"/>
    </row>
    <row r="3" spans="1:12">
      <c r="C3" s="7"/>
      <c r="D3" s="8"/>
      <c r="E3" s="8"/>
      <c r="F3" s="8"/>
      <c r="G3" s="7"/>
      <c r="H3" s="29"/>
      <c r="I3" s="19"/>
      <c r="J3" s="19"/>
      <c r="K3" s="9"/>
    </row>
    <row r="4" spans="1:12" ht="16.2">
      <c r="B4" s="111" t="s">
        <v>4</v>
      </c>
      <c r="C4" s="111"/>
      <c r="D4" s="8"/>
      <c r="E4" s="8"/>
      <c r="F4" s="8"/>
      <c r="G4" s="7"/>
      <c r="H4" s="29"/>
      <c r="I4" s="19"/>
      <c r="J4" s="19"/>
      <c r="K4" s="9"/>
    </row>
    <row r="5" spans="1:12" ht="36" customHeight="1">
      <c r="B5" s="112"/>
      <c r="C5" s="112"/>
      <c r="D5" s="112"/>
      <c r="E5" s="112"/>
      <c r="F5" s="112"/>
      <c r="G5" s="112"/>
      <c r="H5" s="112"/>
      <c r="I5" s="112"/>
      <c r="J5" s="112"/>
      <c r="K5" s="112"/>
    </row>
    <row r="6" spans="1:12">
      <c r="B6" s="10"/>
      <c r="C6" s="10"/>
      <c r="G6" s="10"/>
      <c r="K6" s="10"/>
    </row>
    <row r="7" spans="1:12">
      <c r="B7" s="36" t="s">
        <v>16</v>
      </c>
      <c r="C7" s="36"/>
      <c r="D7" s="113" t="s">
        <v>22</v>
      </c>
      <c r="E7" s="113"/>
      <c r="F7" s="36" t="s">
        <v>11</v>
      </c>
      <c r="G7" s="36" t="s">
        <v>18</v>
      </c>
      <c r="K7" s="6"/>
      <c r="L7" s="6"/>
    </row>
    <row r="8" spans="1:12">
      <c r="B8" s="37" t="s">
        <v>19</v>
      </c>
      <c r="C8" s="38" t="s">
        <v>38</v>
      </c>
      <c r="D8" s="48" t="s">
        <v>21</v>
      </c>
      <c r="E8" s="47"/>
      <c r="F8" s="39" t="s">
        <v>24</v>
      </c>
      <c r="G8" s="39" t="s">
        <v>20</v>
      </c>
      <c r="K8" s="6"/>
      <c r="L8" s="6"/>
    </row>
    <row r="9" spans="1:12">
      <c r="B9" s="24"/>
      <c r="C9" s="21"/>
      <c r="D9" s="22"/>
      <c r="G9" s="10"/>
      <c r="K9" s="6"/>
      <c r="L9" s="6"/>
    </row>
    <row r="11" spans="1:12">
      <c r="A11" s="10"/>
      <c r="B11" s="107"/>
      <c r="C11" s="107" t="s">
        <v>7</v>
      </c>
      <c r="D11" s="107" t="s">
        <v>8</v>
      </c>
      <c r="E11" s="107"/>
      <c r="F11" s="107"/>
      <c r="G11" s="107" t="s">
        <v>10</v>
      </c>
      <c r="H11" s="114" t="s">
        <v>25</v>
      </c>
      <c r="I11" s="106" t="s">
        <v>35</v>
      </c>
      <c r="J11" s="106"/>
      <c r="K11" s="106" t="s">
        <v>34</v>
      </c>
      <c r="L11" s="10"/>
    </row>
    <row r="12" spans="1:12">
      <c r="A12" s="10"/>
      <c r="B12" s="107"/>
      <c r="C12" s="107"/>
      <c r="D12" s="107"/>
      <c r="E12" s="107"/>
      <c r="F12" s="107"/>
      <c r="G12" s="107"/>
      <c r="H12" s="115"/>
      <c r="I12" s="31" t="s">
        <v>27</v>
      </c>
      <c r="J12" s="31" t="s">
        <v>6</v>
      </c>
      <c r="K12" s="107"/>
      <c r="L12" s="10"/>
    </row>
    <row r="13" spans="1:12" ht="63">
      <c r="A13" s="10"/>
      <c r="B13" s="20"/>
      <c r="C13" s="20" t="s">
        <v>3</v>
      </c>
      <c r="D13" s="108" t="s">
        <v>58</v>
      </c>
      <c r="E13" s="109"/>
      <c r="F13" s="110"/>
      <c r="G13" s="66" t="s">
        <v>59</v>
      </c>
      <c r="H13" s="20"/>
      <c r="I13" s="53" t="s">
        <v>30</v>
      </c>
      <c r="J13" s="67">
        <v>1.0416666666666666E-2</v>
      </c>
      <c r="K13" s="20"/>
      <c r="L13" s="10"/>
    </row>
    <row r="14" spans="1:12" ht="25.2">
      <c r="A14" s="10"/>
      <c r="B14" s="20"/>
      <c r="C14" s="20" t="s">
        <v>9</v>
      </c>
      <c r="D14" s="108" t="s">
        <v>37</v>
      </c>
      <c r="E14" s="109"/>
      <c r="F14" s="110"/>
      <c r="G14" s="80" t="s">
        <v>60</v>
      </c>
      <c r="H14" s="20"/>
      <c r="I14" s="54" t="s">
        <v>30</v>
      </c>
      <c r="J14" s="68">
        <v>6.9444444444444441E-3</v>
      </c>
      <c r="K14" s="20"/>
      <c r="L14" s="10"/>
    </row>
  </sheetData>
  <mergeCells count="12">
    <mergeCell ref="K11:K12"/>
    <mergeCell ref="D13:F13"/>
    <mergeCell ref="D14:F14"/>
    <mergeCell ref="B4:C4"/>
    <mergeCell ref="B5:K5"/>
    <mergeCell ref="D7:E7"/>
    <mergeCell ref="B11:B12"/>
    <mergeCell ref="C11:C12"/>
    <mergeCell ref="D11:F12"/>
    <mergeCell ref="G11:G12"/>
    <mergeCell ref="H11:H12"/>
    <mergeCell ref="I11:J11"/>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master!#REF!</xm:f>
          </x14:formula1>
          <xm:sqref>H13:H14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150"/>
  <sheetViews>
    <sheetView showGridLines="0" view="pageBreakPreview" topLeftCell="A143" zoomScale="90" zoomScaleNormal="100" zoomScaleSheetLayoutView="90" workbookViewId="0">
      <selection activeCell="G147" sqref="G147"/>
    </sheetView>
  </sheetViews>
  <sheetFormatPr defaultColWidth="9" defaultRowHeight="15"/>
  <cols>
    <col min="1" max="1" width="4.33203125" style="1" customWidth="1"/>
    <col min="2" max="2" width="8.21875" style="1" customWidth="1"/>
    <col min="3" max="3" width="60.21875" style="1" bestFit="1" customWidth="1"/>
    <col min="4" max="4" width="23.44140625" style="1" bestFit="1" customWidth="1"/>
    <col min="5" max="5" width="32" style="1" customWidth="1"/>
    <col min="6" max="6" width="25.7773437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2:14" ht="36.75" customHeight="1">
      <c r="B2" s="2" t="s">
        <v>28</v>
      </c>
      <c r="C2" s="3"/>
      <c r="D2" s="3"/>
      <c r="E2" s="3"/>
      <c r="F2" s="4"/>
      <c r="G2" s="4"/>
      <c r="H2" s="3"/>
      <c r="I2" s="18"/>
      <c r="J2" s="18"/>
      <c r="K2" s="18"/>
      <c r="L2" s="9"/>
      <c r="M2" s="5"/>
    </row>
    <row r="3" spans="2:14">
      <c r="C3" s="7"/>
      <c r="D3" s="7"/>
      <c r="E3" s="7"/>
      <c r="F3" s="8"/>
      <c r="G3" s="8"/>
      <c r="H3" s="7"/>
      <c r="I3" s="19"/>
      <c r="J3" s="19"/>
      <c r="K3" s="19"/>
      <c r="L3" s="9"/>
      <c r="M3" s="9"/>
    </row>
    <row r="4" spans="2:14" ht="16.2">
      <c r="B4" s="111" t="s">
        <v>4</v>
      </c>
      <c r="C4" s="111"/>
      <c r="D4" s="111"/>
      <c r="E4" s="111"/>
      <c r="F4" s="8"/>
      <c r="G4" s="8"/>
      <c r="H4" s="7"/>
      <c r="I4" s="19"/>
      <c r="J4" s="19"/>
      <c r="K4" s="19"/>
      <c r="L4" s="9"/>
      <c r="M4" s="9"/>
    </row>
    <row r="5" spans="2:14" ht="36" customHeight="1">
      <c r="B5" s="127"/>
      <c r="C5" s="127"/>
      <c r="D5" s="127"/>
      <c r="E5" s="127"/>
      <c r="F5" s="127"/>
      <c r="G5" s="127"/>
      <c r="H5" s="127"/>
      <c r="I5" s="127"/>
      <c r="J5" s="127"/>
      <c r="K5" s="127"/>
      <c r="L5" s="32"/>
      <c r="M5" s="33"/>
    </row>
    <row r="6" spans="2:14" ht="32.4" customHeight="1">
      <c r="B6" s="127"/>
      <c r="C6" s="127"/>
      <c r="D6" s="127"/>
      <c r="E6" s="127"/>
      <c r="F6" s="127"/>
      <c r="G6" s="127"/>
      <c r="H6" s="127"/>
      <c r="I6" s="127"/>
      <c r="J6" s="127"/>
      <c r="K6" s="127"/>
      <c r="L6" s="32"/>
      <c r="M6" s="33"/>
    </row>
    <row r="7" spans="2:14">
      <c r="B7" s="10"/>
      <c r="C7" s="10"/>
      <c r="D7" s="10"/>
      <c r="E7" s="10"/>
      <c r="H7" s="10"/>
      <c r="L7" s="10"/>
      <c r="M7" s="10"/>
    </row>
    <row r="8" spans="2:14">
      <c r="B8" s="36" t="s">
        <v>16</v>
      </c>
      <c r="C8" s="36" t="s">
        <v>17</v>
      </c>
      <c r="D8" s="36" t="s">
        <v>32</v>
      </c>
      <c r="E8" s="36"/>
      <c r="F8" s="36" t="s">
        <v>11</v>
      </c>
      <c r="G8" s="36" t="s">
        <v>18</v>
      </c>
      <c r="I8" s="51"/>
      <c r="J8" s="6"/>
      <c r="K8" s="6"/>
      <c r="L8" s="6"/>
      <c r="M8" s="6"/>
      <c r="N8" s="6"/>
    </row>
    <row r="9" spans="2:14">
      <c r="B9" s="37" t="s">
        <v>44</v>
      </c>
      <c r="C9" s="73" t="s">
        <v>39</v>
      </c>
      <c r="D9" s="39" t="s">
        <v>21</v>
      </c>
      <c r="E9" s="39"/>
      <c r="F9" s="39" t="s">
        <v>23</v>
      </c>
      <c r="G9" s="39" t="s">
        <v>20</v>
      </c>
      <c r="K9" s="6"/>
      <c r="L9" s="6"/>
      <c r="M9" s="6"/>
      <c r="N9" s="6"/>
    </row>
    <row r="10" spans="2:14">
      <c r="B10" s="37" t="s">
        <v>45</v>
      </c>
      <c r="C10" s="73" t="s">
        <v>41</v>
      </c>
      <c r="D10" s="39" t="s">
        <v>21</v>
      </c>
      <c r="E10" s="39"/>
      <c r="F10" s="39" t="s">
        <v>23</v>
      </c>
      <c r="G10" s="39" t="s">
        <v>20</v>
      </c>
      <c r="K10" s="6"/>
      <c r="L10" s="6"/>
      <c r="M10" s="6"/>
      <c r="N10" s="6"/>
    </row>
    <row r="11" spans="2:14">
      <c r="B11" s="37" t="s">
        <v>100</v>
      </c>
      <c r="C11" s="39" t="s">
        <v>40</v>
      </c>
      <c r="D11" s="39" t="s">
        <v>21</v>
      </c>
      <c r="E11" s="39"/>
      <c r="F11" s="39" t="s">
        <v>23</v>
      </c>
      <c r="G11" s="39" t="s">
        <v>20</v>
      </c>
      <c r="K11" s="6"/>
      <c r="L11" s="6"/>
      <c r="M11" s="6"/>
      <c r="N11" s="6"/>
    </row>
    <row r="12" spans="2:14">
      <c r="B12" s="37" t="s">
        <v>101</v>
      </c>
      <c r="C12" s="73" t="s">
        <v>98</v>
      </c>
      <c r="D12" s="39" t="s">
        <v>21</v>
      </c>
      <c r="E12" s="39"/>
      <c r="F12" s="39" t="s">
        <v>23</v>
      </c>
      <c r="G12" s="39" t="s">
        <v>20</v>
      </c>
      <c r="K12" s="6"/>
      <c r="L12" s="6"/>
      <c r="M12" s="6"/>
      <c r="N12" s="6"/>
    </row>
    <row r="13" spans="2:14">
      <c r="B13" s="37" t="s">
        <v>102</v>
      </c>
      <c r="C13" s="39" t="s">
        <v>99</v>
      </c>
      <c r="D13" s="39" t="s">
        <v>21</v>
      </c>
      <c r="E13" s="39"/>
      <c r="F13" s="39" t="s">
        <v>23</v>
      </c>
      <c r="G13" s="39" t="s">
        <v>20</v>
      </c>
      <c r="K13" s="6"/>
      <c r="L13" s="6"/>
      <c r="M13" s="6"/>
      <c r="N13" s="6"/>
    </row>
    <row r="14" spans="2:14">
      <c r="B14" s="37" t="s">
        <v>103</v>
      </c>
      <c r="C14" s="73" t="s">
        <v>42</v>
      </c>
      <c r="D14" s="39" t="s">
        <v>21</v>
      </c>
      <c r="E14" s="39"/>
      <c r="F14" s="39" t="s">
        <v>23</v>
      </c>
      <c r="G14" s="39" t="s">
        <v>20</v>
      </c>
      <c r="K14" s="6"/>
      <c r="L14" s="6"/>
      <c r="M14" s="6"/>
      <c r="N14" s="6"/>
    </row>
    <row r="15" spans="2:14">
      <c r="B15" s="37" t="s">
        <v>104</v>
      </c>
      <c r="C15" s="73" t="s">
        <v>43</v>
      </c>
      <c r="D15" s="39" t="s">
        <v>33</v>
      </c>
      <c r="E15" s="39"/>
      <c r="F15" s="39" t="s">
        <v>23</v>
      </c>
      <c r="G15" s="39" t="s">
        <v>20</v>
      </c>
      <c r="K15" s="6"/>
      <c r="L15" s="6"/>
      <c r="M15" s="6"/>
      <c r="N15" s="6"/>
    </row>
    <row r="16" spans="2:14">
      <c r="B16" s="37" t="s">
        <v>105</v>
      </c>
      <c r="C16" s="73" t="s">
        <v>46</v>
      </c>
      <c r="D16" s="39" t="s">
        <v>21</v>
      </c>
      <c r="E16" s="39"/>
      <c r="F16" s="39" t="s">
        <v>23</v>
      </c>
      <c r="G16" s="39" t="s">
        <v>20</v>
      </c>
      <c r="K16" s="6"/>
      <c r="L16" s="6"/>
      <c r="M16" s="6"/>
      <c r="N16" s="6"/>
    </row>
    <row r="17" spans="1:14">
      <c r="B17" s="37" t="s">
        <v>19</v>
      </c>
      <c r="C17" s="73"/>
      <c r="D17" s="74"/>
      <c r="E17" s="39"/>
      <c r="F17" s="39" t="s">
        <v>23</v>
      </c>
      <c r="G17" s="39" t="s">
        <v>20</v>
      </c>
      <c r="K17" s="6"/>
      <c r="L17" s="6"/>
      <c r="M17" s="6"/>
      <c r="N17" s="6"/>
    </row>
    <row r="18" spans="1:14">
      <c r="B18" s="24"/>
      <c r="C18" s="21"/>
      <c r="D18" s="21"/>
      <c r="E18" s="21"/>
      <c r="F18" s="22"/>
      <c r="H18" s="10"/>
      <c r="L18" s="6"/>
      <c r="M18" s="6"/>
      <c r="N18" s="6"/>
    </row>
    <row r="20" spans="1:14" ht="24" customHeight="1">
      <c r="A20" s="10"/>
      <c r="B20" s="107" t="s">
        <v>5</v>
      </c>
      <c r="C20" s="107" t="s">
        <v>7</v>
      </c>
      <c r="D20" s="107" t="s">
        <v>8</v>
      </c>
      <c r="E20" s="107"/>
      <c r="F20" s="107"/>
      <c r="G20" s="107" t="s">
        <v>10</v>
      </c>
      <c r="H20" s="106" t="s">
        <v>25</v>
      </c>
      <c r="I20" s="125" t="s">
        <v>35</v>
      </c>
      <c r="J20" s="126"/>
      <c r="K20" s="106" t="s">
        <v>36</v>
      </c>
      <c r="L20" s="6"/>
      <c r="M20" s="6"/>
      <c r="N20" s="6"/>
    </row>
    <row r="21" spans="1:14">
      <c r="A21" s="10"/>
      <c r="B21" s="107"/>
      <c r="C21" s="107"/>
      <c r="D21" s="107"/>
      <c r="E21" s="107"/>
      <c r="F21" s="107"/>
      <c r="G21" s="107"/>
      <c r="H21" s="106"/>
      <c r="I21" s="31" t="s">
        <v>27</v>
      </c>
      <c r="J21" s="31" t="s">
        <v>6</v>
      </c>
      <c r="K21" s="107"/>
      <c r="L21" s="6"/>
      <c r="M21" s="6"/>
      <c r="N21" s="6"/>
    </row>
    <row r="22" spans="1:14" ht="151.19999999999999">
      <c r="A22" s="10"/>
      <c r="B22" s="93" t="str">
        <f>master!B3</f>
        <v>講義の目的</v>
      </c>
      <c r="C22" s="55" t="str">
        <f>master!C3</f>
        <v>講義の目的</v>
      </c>
      <c r="D22" s="116" t="s">
        <v>106</v>
      </c>
      <c r="E22" s="117"/>
      <c r="F22" s="118"/>
      <c r="G22" s="55" t="s">
        <v>107</v>
      </c>
      <c r="H22" s="12"/>
      <c r="I22" s="52" t="s">
        <v>26</v>
      </c>
      <c r="J22" s="50">
        <v>2.0833333333333333E-3</v>
      </c>
      <c r="K22" s="46"/>
      <c r="L22" s="6"/>
      <c r="M22" s="6"/>
      <c r="N22" s="6"/>
    </row>
    <row r="23" spans="1:14" ht="138.6" customHeight="1">
      <c r="A23" s="10"/>
      <c r="B23" s="128" t="str">
        <f>master!B4</f>
        <v>Webアプリケーションとは</v>
      </c>
      <c r="C23" s="55" t="str">
        <f>master!C4</f>
        <v>Webアプリケーションとは</v>
      </c>
      <c r="D23" s="116" t="s">
        <v>108</v>
      </c>
      <c r="E23" s="117"/>
      <c r="F23" s="118"/>
      <c r="G23" s="55" t="s">
        <v>48</v>
      </c>
      <c r="H23" s="12"/>
      <c r="I23" s="52" t="s">
        <v>26</v>
      </c>
      <c r="J23" s="50">
        <v>3.472222222222222E-3</v>
      </c>
      <c r="K23" s="46"/>
      <c r="L23" s="6"/>
      <c r="M23" s="6"/>
      <c r="N23" s="6"/>
    </row>
    <row r="24" spans="1:14" ht="75.599999999999994">
      <c r="A24" s="11"/>
      <c r="B24" s="129"/>
      <c r="C24" s="55" t="str">
        <f>master!C5</f>
        <v>Webアプリケーションの種類</v>
      </c>
      <c r="D24" s="116" t="s">
        <v>109</v>
      </c>
      <c r="E24" s="117"/>
      <c r="F24" s="118"/>
      <c r="G24" s="55" t="s">
        <v>52</v>
      </c>
      <c r="H24" s="12"/>
      <c r="I24" s="52" t="s">
        <v>26</v>
      </c>
      <c r="J24" s="50">
        <v>3.472222222222222E-3</v>
      </c>
      <c r="K24" s="46"/>
      <c r="L24" s="6"/>
      <c r="M24" s="6"/>
      <c r="N24" s="6"/>
    </row>
    <row r="25" spans="1:14" ht="37.799999999999997">
      <c r="A25" s="11"/>
      <c r="B25" s="129"/>
      <c r="C25" s="55" t="str">
        <f>master!C6</f>
        <v>アプリケーションとは</v>
      </c>
      <c r="D25" s="116" t="s">
        <v>110</v>
      </c>
      <c r="E25" s="117"/>
      <c r="F25" s="118"/>
      <c r="G25" s="55" t="s">
        <v>50</v>
      </c>
      <c r="H25" s="12"/>
      <c r="I25" s="52" t="s">
        <v>26</v>
      </c>
      <c r="J25" s="50">
        <v>2.0833333333333333E-3</v>
      </c>
      <c r="K25" s="46"/>
      <c r="L25" s="6"/>
      <c r="M25" s="6"/>
      <c r="N25" s="6"/>
    </row>
    <row r="26" spans="1:14" ht="63">
      <c r="A26" s="11"/>
      <c r="B26" s="129"/>
      <c r="C26" s="55" t="str">
        <f>master!C7</f>
        <v>Web画面アプリケーション</v>
      </c>
      <c r="D26" s="116" t="s">
        <v>111</v>
      </c>
      <c r="E26" s="117"/>
      <c r="F26" s="118"/>
      <c r="G26" s="55" t="s">
        <v>49</v>
      </c>
      <c r="H26" s="12"/>
      <c r="I26" s="52" t="s">
        <v>26</v>
      </c>
      <c r="J26" s="50">
        <v>2.0833333333333333E-3</v>
      </c>
      <c r="K26" s="46"/>
      <c r="L26" s="6"/>
      <c r="M26" s="6"/>
      <c r="N26" s="6"/>
    </row>
    <row r="27" spans="1:14" ht="63">
      <c r="A27" s="11"/>
      <c r="B27" s="129"/>
      <c r="C27" s="55"/>
      <c r="D27" s="116" t="s">
        <v>112</v>
      </c>
      <c r="E27" s="117"/>
      <c r="F27" s="118"/>
      <c r="G27" s="55" t="s">
        <v>49</v>
      </c>
      <c r="H27" s="12"/>
      <c r="I27" s="52" t="s">
        <v>26</v>
      </c>
      <c r="J27" s="50">
        <v>6.9444444444444447E-4</v>
      </c>
      <c r="K27" s="46"/>
      <c r="L27" s="6"/>
      <c r="M27" s="6"/>
      <c r="N27" s="6"/>
    </row>
    <row r="28" spans="1:14" ht="113.4">
      <c r="A28" s="11"/>
      <c r="B28" s="130"/>
      <c r="C28" s="55" t="str">
        <f>master!C8</f>
        <v>ブラウザからのリクエスト種類</v>
      </c>
      <c r="D28" s="116" t="s">
        <v>113</v>
      </c>
      <c r="E28" s="117"/>
      <c r="F28" s="118"/>
      <c r="G28" s="55" t="s">
        <v>53</v>
      </c>
      <c r="H28" s="12"/>
      <c r="I28" s="52" t="s">
        <v>26</v>
      </c>
      <c r="J28" s="50">
        <v>2.0833333333333333E-3</v>
      </c>
      <c r="K28" s="46"/>
      <c r="L28" s="6"/>
      <c r="M28" s="6"/>
      <c r="N28" s="6"/>
    </row>
    <row r="29" spans="1:14" ht="102" customHeight="1">
      <c r="A29" s="11"/>
      <c r="B29" s="128" t="str">
        <f>master!B9</f>
        <v>データベースとは</v>
      </c>
      <c r="C29" s="55" t="str">
        <f>master!C9</f>
        <v>データベースとは</v>
      </c>
      <c r="D29" s="116" t="s">
        <v>114</v>
      </c>
      <c r="E29" s="117"/>
      <c r="F29" s="118"/>
      <c r="G29" s="55" t="s">
        <v>50</v>
      </c>
      <c r="H29" s="12"/>
      <c r="I29" s="52" t="s">
        <v>26</v>
      </c>
      <c r="J29" s="50">
        <v>2.0833333333333333E-3</v>
      </c>
      <c r="K29" s="46"/>
      <c r="L29" s="6"/>
      <c r="M29" s="6"/>
      <c r="N29" s="6"/>
    </row>
    <row r="30" spans="1:14" ht="88.2">
      <c r="A30" s="11"/>
      <c r="B30" s="129"/>
      <c r="C30" s="55" t="str">
        <f>master!C10</f>
        <v>リレーショナルデータベース</v>
      </c>
      <c r="D30" s="116" t="s">
        <v>115</v>
      </c>
      <c r="E30" s="117"/>
      <c r="F30" s="118"/>
      <c r="G30" s="55" t="s">
        <v>54</v>
      </c>
      <c r="H30" s="12"/>
      <c r="I30" s="52" t="s">
        <v>26</v>
      </c>
      <c r="J30" s="50">
        <v>3.472222222222222E-3</v>
      </c>
      <c r="K30" s="46"/>
      <c r="L30" s="6"/>
      <c r="M30" s="6"/>
      <c r="N30" s="6"/>
    </row>
    <row r="31" spans="1:14" ht="25.2">
      <c r="A31" s="11"/>
      <c r="B31" s="129"/>
      <c r="C31" s="55" t="str">
        <f>master!C11</f>
        <v>データベースの役割</v>
      </c>
      <c r="D31" s="116" t="s">
        <v>116</v>
      </c>
      <c r="E31" s="117"/>
      <c r="F31" s="118"/>
      <c r="G31" s="55" t="s">
        <v>55</v>
      </c>
      <c r="H31" s="12"/>
      <c r="I31" s="52" t="s">
        <v>26</v>
      </c>
      <c r="J31" s="50">
        <v>3.472222222222222E-3</v>
      </c>
      <c r="K31" s="46" t="s">
        <v>126</v>
      </c>
      <c r="L31" s="6"/>
      <c r="M31" s="6"/>
      <c r="N31" s="6"/>
    </row>
    <row r="32" spans="1:14" ht="75.599999999999994">
      <c r="A32" s="11"/>
      <c r="B32" s="129"/>
      <c r="C32" s="55" t="str">
        <f>master!C12</f>
        <v>2.1.テーブル</v>
      </c>
      <c r="D32" s="116" t="s">
        <v>117</v>
      </c>
      <c r="E32" s="117"/>
      <c r="F32" s="118"/>
      <c r="G32" s="55" t="s">
        <v>52</v>
      </c>
      <c r="H32" s="12"/>
      <c r="I32" s="52" t="s">
        <v>26</v>
      </c>
      <c r="J32" s="50">
        <v>2.0833333333333333E-3</v>
      </c>
      <c r="K32" s="46"/>
      <c r="L32" s="6"/>
      <c r="M32" s="6"/>
      <c r="N32" s="6"/>
    </row>
    <row r="33" spans="1:14" ht="100.8">
      <c r="A33" s="11"/>
      <c r="B33" s="129"/>
      <c r="C33" s="55" t="str">
        <f>master!C13</f>
        <v>2.2.データ型１</v>
      </c>
      <c r="D33" s="116" t="s">
        <v>118</v>
      </c>
      <c r="E33" s="117"/>
      <c r="F33" s="118"/>
      <c r="G33" s="55" t="s">
        <v>56</v>
      </c>
      <c r="H33" s="12"/>
      <c r="I33" s="52" t="s">
        <v>26</v>
      </c>
      <c r="J33" s="50">
        <v>2.0833333333333333E-3</v>
      </c>
      <c r="K33" s="46"/>
      <c r="L33" s="6"/>
      <c r="M33" s="6"/>
      <c r="N33" s="6"/>
    </row>
    <row r="34" spans="1:14" ht="37.799999999999997">
      <c r="A34" s="11"/>
      <c r="B34" s="129"/>
      <c r="C34" s="55" t="str">
        <f>master!C14</f>
        <v>2.2.データ型２</v>
      </c>
      <c r="D34" s="116" t="s">
        <v>119</v>
      </c>
      <c r="E34" s="117"/>
      <c r="F34" s="118"/>
      <c r="G34" s="55" t="s">
        <v>50</v>
      </c>
      <c r="H34" s="12"/>
      <c r="I34" s="52" t="s">
        <v>26</v>
      </c>
      <c r="J34" s="50">
        <v>2.0833333333333333E-3</v>
      </c>
      <c r="K34" s="46"/>
      <c r="L34" s="6"/>
      <c r="M34" s="6"/>
      <c r="N34" s="6"/>
    </row>
    <row r="35" spans="1:14" ht="37.799999999999997">
      <c r="A35" s="11"/>
      <c r="B35" s="129"/>
      <c r="C35" s="55" t="str">
        <f>master!C15</f>
        <v>2.3.リレーション</v>
      </c>
      <c r="D35" s="116" t="s">
        <v>120</v>
      </c>
      <c r="E35" s="117"/>
      <c r="F35" s="118"/>
      <c r="G35" s="55" t="s">
        <v>50</v>
      </c>
      <c r="H35" s="12"/>
      <c r="I35" s="52" t="s">
        <v>26</v>
      </c>
      <c r="J35" s="50">
        <v>3.472222222222222E-3</v>
      </c>
      <c r="K35" s="46"/>
      <c r="L35" s="6"/>
      <c r="M35" s="6"/>
      <c r="N35" s="6"/>
    </row>
    <row r="36" spans="1:14" ht="37.799999999999997">
      <c r="A36" s="11"/>
      <c r="B36" s="130"/>
      <c r="C36" s="55" t="str">
        <f>master!C16</f>
        <v>2.4.データを結合して取得（Join）</v>
      </c>
      <c r="D36" s="116" t="s">
        <v>121</v>
      </c>
      <c r="E36" s="117"/>
      <c r="F36" s="118"/>
      <c r="G36" s="55" t="s">
        <v>50</v>
      </c>
      <c r="H36" s="12"/>
      <c r="I36" s="52" t="s">
        <v>26</v>
      </c>
      <c r="J36" s="50">
        <v>2.0833333333333333E-3</v>
      </c>
      <c r="K36" s="46"/>
      <c r="L36" s="6"/>
      <c r="M36" s="6"/>
      <c r="N36" s="6"/>
    </row>
    <row r="37" spans="1:14" ht="88.2">
      <c r="A37" s="11"/>
      <c r="B37" s="128" t="str">
        <f>master!B17</f>
        <v>Java言語、Springフレームワークとは</v>
      </c>
      <c r="C37" s="55" t="str">
        <f>master!C17</f>
        <v>Webアプリケーションを作成するためのプログラミング言語</v>
      </c>
      <c r="D37" s="116" t="s">
        <v>122</v>
      </c>
      <c r="E37" s="117"/>
      <c r="F37" s="118"/>
      <c r="G37" s="55" t="s">
        <v>54</v>
      </c>
      <c r="H37" s="12"/>
      <c r="I37" s="52" t="s">
        <v>26</v>
      </c>
      <c r="J37" s="50">
        <v>2.0833333333333333E-3</v>
      </c>
      <c r="K37" s="46"/>
      <c r="L37" s="6"/>
      <c r="M37" s="6"/>
      <c r="N37" s="6"/>
    </row>
    <row r="38" spans="1:14" ht="75.599999999999994">
      <c r="A38" s="11"/>
      <c r="B38" s="129"/>
      <c r="C38" s="55" t="str">
        <f>master!C18</f>
        <v>Java</v>
      </c>
      <c r="D38" s="116" t="s">
        <v>123</v>
      </c>
      <c r="E38" s="117"/>
      <c r="F38" s="118"/>
      <c r="G38" s="55" t="s">
        <v>52</v>
      </c>
      <c r="H38" s="12"/>
      <c r="I38" s="52" t="s">
        <v>26</v>
      </c>
      <c r="J38" s="50">
        <v>3.472222222222222E-3</v>
      </c>
      <c r="K38" s="46"/>
      <c r="L38" s="6"/>
      <c r="M38" s="6"/>
      <c r="N38" s="6"/>
    </row>
    <row r="39" spans="1:14" ht="75.599999999999994">
      <c r="A39" s="11"/>
      <c r="B39" s="129"/>
      <c r="C39" s="55" t="str">
        <f>master!C19</f>
        <v>Java言語の構成要素</v>
      </c>
      <c r="D39" s="116" t="s">
        <v>124</v>
      </c>
      <c r="E39" s="117"/>
      <c r="F39" s="118"/>
      <c r="G39" s="55" t="s">
        <v>52</v>
      </c>
      <c r="H39" s="12"/>
      <c r="I39" s="52" t="s">
        <v>26</v>
      </c>
      <c r="J39" s="50">
        <v>2.0833333333333333E-3</v>
      </c>
      <c r="K39" s="46"/>
      <c r="L39" s="6"/>
      <c r="M39" s="6"/>
      <c r="N39" s="6"/>
    </row>
    <row r="40" spans="1:14" ht="50.4">
      <c r="A40" s="11"/>
      <c r="B40" s="129"/>
      <c r="C40" s="55" t="str">
        <f>master!C20</f>
        <v>Webアプリケーションを構成するクラス</v>
      </c>
      <c r="D40" s="116" t="s">
        <v>125</v>
      </c>
      <c r="E40" s="117"/>
      <c r="F40" s="118"/>
      <c r="G40" s="55" t="s">
        <v>51</v>
      </c>
      <c r="H40" s="12"/>
      <c r="I40" s="52" t="s">
        <v>26</v>
      </c>
      <c r="J40" s="50">
        <v>3.472222222222222E-3</v>
      </c>
      <c r="K40" s="46"/>
      <c r="L40" s="6"/>
      <c r="M40" s="6"/>
      <c r="N40" s="6"/>
    </row>
    <row r="41" spans="1:14" ht="88.2">
      <c r="A41" s="11"/>
      <c r="B41" s="129"/>
      <c r="C41" s="55" t="str">
        <f>master!C21</f>
        <v>Nレイヤーアーキテクチャ</v>
      </c>
      <c r="D41" s="116" t="s">
        <v>127</v>
      </c>
      <c r="E41" s="117"/>
      <c r="F41" s="118"/>
      <c r="G41" s="55" t="s">
        <v>54</v>
      </c>
      <c r="H41" s="12"/>
      <c r="I41" s="52" t="s">
        <v>26</v>
      </c>
      <c r="J41" s="50">
        <v>3.472222222222222E-3</v>
      </c>
      <c r="K41" s="46" t="s">
        <v>126</v>
      </c>
      <c r="L41" s="6"/>
      <c r="M41" s="6"/>
      <c r="N41" s="6"/>
    </row>
    <row r="42" spans="1:14" ht="201.6">
      <c r="A42" s="11"/>
      <c r="B42" s="129"/>
      <c r="C42" s="55" t="str">
        <f>master!C22</f>
        <v>View と Controller と Service と Repository</v>
      </c>
      <c r="D42" s="116" t="s">
        <v>128</v>
      </c>
      <c r="E42" s="117"/>
      <c r="F42" s="118"/>
      <c r="G42" s="55" t="s">
        <v>129</v>
      </c>
      <c r="H42" s="12"/>
      <c r="I42" s="52" t="s">
        <v>57</v>
      </c>
      <c r="J42" s="50">
        <v>3.472222222222222E-3</v>
      </c>
      <c r="K42" s="46"/>
      <c r="L42" s="6"/>
      <c r="M42" s="6"/>
      <c r="N42" s="6"/>
    </row>
    <row r="43" spans="1:14" ht="37.799999999999997">
      <c r="A43" s="11"/>
      <c r="B43" s="129"/>
      <c r="C43" s="55" t="str">
        <f>master!C23</f>
        <v>Nレイヤーアーキテクチャ</v>
      </c>
      <c r="D43" s="116" t="s">
        <v>130</v>
      </c>
      <c r="E43" s="117"/>
      <c r="F43" s="118"/>
      <c r="G43" s="55" t="s">
        <v>50</v>
      </c>
      <c r="H43" s="12"/>
      <c r="I43" s="52" t="s">
        <v>26</v>
      </c>
      <c r="J43" s="50">
        <v>2.0833333333333333E-3</v>
      </c>
      <c r="K43" s="46"/>
      <c r="L43" s="6"/>
      <c r="M43" s="6"/>
      <c r="N43" s="6"/>
    </row>
    <row r="44" spans="1:14" ht="163.80000000000001">
      <c r="A44" s="11"/>
      <c r="B44" s="129"/>
      <c r="C44" s="55" t="str">
        <f>master!C24</f>
        <v>Webアプリケーション フレームワーク</v>
      </c>
      <c r="D44" s="116" t="s">
        <v>131</v>
      </c>
      <c r="E44" s="117"/>
      <c r="F44" s="118"/>
      <c r="G44" s="55" t="s">
        <v>132</v>
      </c>
      <c r="H44" s="12"/>
      <c r="I44" s="52" t="s">
        <v>26</v>
      </c>
      <c r="J44" s="50">
        <v>3.472222222222222E-3</v>
      </c>
      <c r="K44" s="46"/>
      <c r="L44" s="6"/>
      <c r="M44" s="6"/>
      <c r="N44" s="6"/>
    </row>
    <row r="45" spans="1:14" ht="25.2">
      <c r="A45" s="11"/>
      <c r="B45" s="129"/>
      <c r="C45" s="55" t="str">
        <f>master!C25</f>
        <v>Java向けWebアプリケーションフレームワーク</v>
      </c>
      <c r="D45" s="116" t="s">
        <v>133</v>
      </c>
      <c r="E45" s="117"/>
      <c r="F45" s="118"/>
      <c r="G45" s="55" t="s">
        <v>55</v>
      </c>
      <c r="H45" s="12"/>
      <c r="I45" s="52" t="s">
        <v>26</v>
      </c>
      <c r="J45" s="50">
        <v>6.9444444444444447E-4</v>
      </c>
      <c r="K45" s="46"/>
      <c r="L45" s="6"/>
      <c r="M45" s="6"/>
      <c r="N45" s="6"/>
    </row>
    <row r="46" spans="1:14" ht="189">
      <c r="A46" s="11"/>
      <c r="B46" s="129"/>
      <c r="C46" s="55" t="str">
        <f>master!C26</f>
        <v>Springフレームワーク</v>
      </c>
      <c r="D46" s="116" t="s">
        <v>134</v>
      </c>
      <c r="E46" s="117"/>
      <c r="F46" s="118"/>
      <c r="G46" s="55" t="s">
        <v>135</v>
      </c>
      <c r="H46" s="12"/>
      <c r="I46" s="52" t="s">
        <v>26</v>
      </c>
      <c r="J46" s="50">
        <v>3.472222222222222E-3</v>
      </c>
      <c r="K46" s="46"/>
      <c r="L46" s="6"/>
      <c r="M46" s="6"/>
      <c r="N46" s="6"/>
    </row>
    <row r="47" spans="1:14" ht="88.2">
      <c r="A47" s="11"/>
      <c r="B47" s="129"/>
      <c r="C47" s="55" t="str">
        <f>master!C27</f>
        <v>Springフレームワーク：DIコンテナとは</v>
      </c>
      <c r="D47" s="116" t="s">
        <v>136</v>
      </c>
      <c r="E47" s="117"/>
      <c r="F47" s="118"/>
      <c r="G47" s="55" t="s">
        <v>54</v>
      </c>
      <c r="H47" s="12"/>
      <c r="I47" s="52" t="s">
        <v>26</v>
      </c>
      <c r="J47" s="50">
        <v>3.472222222222222E-3</v>
      </c>
      <c r="K47" s="46" t="s">
        <v>126</v>
      </c>
      <c r="L47" s="6"/>
      <c r="M47" s="6"/>
      <c r="N47" s="6"/>
    </row>
    <row r="48" spans="1:14" ht="63">
      <c r="A48" s="11"/>
      <c r="B48" s="129"/>
      <c r="C48" s="55" t="str">
        <f>master!C28</f>
        <v>DIコンテナ：DIコンテナが部品を注入する</v>
      </c>
      <c r="D48" s="116" t="s">
        <v>137</v>
      </c>
      <c r="E48" s="117"/>
      <c r="F48" s="118"/>
      <c r="G48" s="55" t="s">
        <v>49</v>
      </c>
      <c r="H48" s="12"/>
      <c r="I48" s="52" t="s">
        <v>26</v>
      </c>
      <c r="J48" s="50">
        <v>2.0833333333333333E-3</v>
      </c>
      <c r="K48" s="46"/>
      <c r="L48" s="6"/>
      <c r="M48" s="6"/>
      <c r="N48" s="6"/>
    </row>
    <row r="49" spans="1:14" ht="100.8">
      <c r="A49" s="11"/>
      <c r="B49" s="129"/>
      <c r="C49" s="55" t="str">
        <f>master!C29</f>
        <v>DIコンテナ：DIコンテナによる部品と注入対象になるための目印</v>
      </c>
      <c r="D49" s="116" t="s">
        <v>138</v>
      </c>
      <c r="E49" s="117"/>
      <c r="F49" s="118"/>
      <c r="G49" s="55" t="s">
        <v>56</v>
      </c>
      <c r="H49" s="12"/>
      <c r="I49" s="52" t="s">
        <v>26</v>
      </c>
      <c r="J49" s="50">
        <v>2.0833333333333333E-3</v>
      </c>
      <c r="K49" s="46"/>
      <c r="L49" s="6"/>
      <c r="M49" s="6"/>
      <c r="N49" s="6"/>
    </row>
    <row r="50" spans="1:14" ht="100.8">
      <c r="A50" s="11"/>
      <c r="B50" s="129"/>
      <c r="C50" s="55" t="str">
        <f>master!C30</f>
        <v>Springフレームワークにおける部品の設定</v>
      </c>
      <c r="D50" s="116" t="s">
        <v>139</v>
      </c>
      <c r="E50" s="117"/>
      <c r="F50" s="118"/>
      <c r="G50" s="55" t="s">
        <v>56</v>
      </c>
      <c r="H50" s="12"/>
      <c r="I50" s="52" t="s">
        <v>26</v>
      </c>
      <c r="J50" s="50">
        <v>2.0833333333333333E-3</v>
      </c>
      <c r="K50" s="46"/>
      <c r="L50" s="6"/>
      <c r="M50" s="6"/>
      <c r="N50" s="6"/>
    </row>
    <row r="51" spans="1:14" ht="88.2">
      <c r="A51" s="11"/>
      <c r="B51" s="129"/>
      <c r="C51" s="55" t="str">
        <f>master!C31</f>
        <v>Spring Boot</v>
      </c>
      <c r="D51" s="116" t="s">
        <v>140</v>
      </c>
      <c r="E51" s="117"/>
      <c r="F51" s="118"/>
      <c r="G51" s="55" t="s">
        <v>54</v>
      </c>
      <c r="H51" s="12"/>
      <c r="I51" s="52" t="s">
        <v>26</v>
      </c>
      <c r="J51" s="50">
        <v>2.0833333333333333E-3</v>
      </c>
      <c r="K51" s="46"/>
      <c r="L51" s="6"/>
      <c r="M51" s="6"/>
      <c r="N51" s="6"/>
    </row>
    <row r="52" spans="1:14" ht="63">
      <c r="A52" s="11"/>
      <c r="B52" s="129"/>
      <c r="C52" s="55" t="str">
        <f>master!C32</f>
        <v>Spring Boot：オートコンフィグレーション</v>
      </c>
      <c r="D52" s="116" t="s">
        <v>141</v>
      </c>
      <c r="E52" s="117"/>
      <c r="F52" s="118"/>
      <c r="G52" s="55" t="s">
        <v>49</v>
      </c>
      <c r="H52" s="12"/>
      <c r="I52" s="52" t="s">
        <v>26</v>
      </c>
      <c r="J52" s="50">
        <v>2.0833333333333333E-3</v>
      </c>
      <c r="K52" s="46"/>
      <c r="L52" s="6"/>
      <c r="M52" s="6"/>
      <c r="N52" s="6"/>
    </row>
    <row r="53" spans="1:14" ht="50.4">
      <c r="A53" s="11"/>
      <c r="B53" s="129"/>
      <c r="C53" s="55" t="str">
        <f>master!C33</f>
        <v>Spring Boot：Starters</v>
      </c>
      <c r="D53" s="116" t="s">
        <v>142</v>
      </c>
      <c r="E53" s="117"/>
      <c r="F53" s="118"/>
      <c r="G53" s="55" t="s">
        <v>51</v>
      </c>
      <c r="H53" s="12"/>
      <c r="I53" s="52" t="s">
        <v>26</v>
      </c>
      <c r="J53" s="50">
        <v>1.3888888888888889E-3</v>
      </c>
      <c r="K53" s="46"/>
      <c r="L53" s="6"/>
      <c r="M53" s="6"/>
      <c r="N53" s="6"/>
    </row>
    <row r="54" spans="1:14" ht="88.2">
      <c r="A54" s="11"/>
      <c r="B54" s="129"/>
      <c r="C54" s="55" t="str">
        <f>master!C34</f>
        <v>Spring Boot：組込みWebAPサーバ</v>
      </c>
      <c r="D54" s="116" t="s">
        <v>143</v>
      </c>
      <c r="E54" s="117"/>
      <c r="F54" s="118"/>
      <c r="G54" s="55" t="s">
        <v>54</v>
      </c>
      <c r="H54" s="12"/>
      <c r="I54" s="52" t="s">
        <v>26</v>
      </c>
      <c r="J54" s="50">
        <v>1.3888888888888889E-3</v>
      </c>
      <c r="K54" s="46"/>
      <c r="L54" s="6"/>
      <c r="M54" s="6"/>
      <c r="N54" s="6"/>
    </row>
    <row r="55" spans="1:14" ht="25.2">
      <c r="A55" s="11"/>
      <c r="B55" s="130"/>
      <c r="C55" s="55" t="str">
        <f>master!C35</f>
        <v>おすすめ書籍：『プロになるためのSpring入門』</v>
      </c>
      <c r="D55" s="116"/>
      <c r="E55" s="117"/>
      <c r="F55" s="118"/>
      <c r="G55" s="55" t="s">
        <v>55</v>
      </c>
      <c r="H55" s="12"/>
      <c r="I55" s="52" t="s">
        <v>26</v>
      </c>
      <c r="J55" s="50">
        <v>6.9444444444444447E-4</v>
      </c>
      <c r="K55" s="46"/>
      <c r="L55" s="6"/>
      <c r="M55" s="6"/>
      <c r="N55" s="6"/>
    </row>
    <row r="56" spans="1:14" ht="37.799999999999997">
      <c r="A56" s="11"/>
      <c r="B56" s="131" t="str">
        <f>master!B37</f>
        <v>導入</v>
      </c>
      <c r="C56" s="75" t="str">
        <f>master!C37</f>
        <v>演習課題の概要</v>
      </c>
      <c r="D56" s="122" t="s">
        <v>186</v>
      </c>
      <c r="E56" s="123"/>
      <c r="F56" s="124"/>
      <c r="G56" s="75" t="s">
        <v>50</v>
      </c>
      <c r="H56" s="76"/>
      <c r="I56" s="77" t="s">
        <v>26</v>
      </c>
      <c r="J56" s="78">
        <v>6.9444444444444447E-4</v>
      </c>
      <c r="K56" s="79"/>
      <c r="L56" s="6"/>
      <c r="M56" s="6"/>
      <c r="N56" s="6"/>
    </row>
    <row r="57" spans="1:14" ht="37.799999999999997">
      <c r="A57" s="11"/>
      <c r="B57" s="132"/>
      <c r="C57" s="75" t="str">
        <f>master!C38</f>
        <v>作成物</v>
      </c>
      <c r="D57" s="122" t="s">
        <v>187</v>
      </c>
      <c r="E57" s="123"/>
      <c r="F57" s="124"/>
      <c r="G57" s="75" t="s">
        <v>50</v>
      </c>
      <c r="H57" s="76"/>
      <c r="I57" s="77" t="s">
        <v>26</v>
      </c>
      <c r="J57" s="78">
        <v>6.9444444444444447E-4</v>
      </c>
      <c r="K57" s="79"/>
      <c r="L57" s="6"/>
      <c r="M57" s="6"/>
      <c r="N57" s="6"/>
    </row>
    <row r="58" spans="1:14" ht="75.599999999999994">
      <c r="A58" s="11"/>
      <c r="B58" s="133"/>
      <c r="C58" s="75" t="str">
        <f>master!C39</f>
        <v>演習課題の進め方</v>
      </c>
      <c r="D58" s="122" t="s">
        <v>188</v>
      </c>
      <c r="E58" s="123"/>
      <c r="F58" s="124"/>
      <c r="G58" s="75" t="s">
        <v>52</v>
      </c>
      <c r="H58" s="76"/>
      <c r="I58" s="77" t="s">
        <v>26</v>
      </c>
      <c r="J58" s="78">
        <v>1.3888888888888888E-2</v>
      </c>
      <c r="K58" s="79"/>
      <c r="L58" s="6"/>
      <c r="M58" s="6"/>
      <c r="N58" s="6"/>
    </row>
    <row r="59" spans="1:14">
      <c r="A59" s="11"/>
      <c r="B59" s="131" t="str">
        <f>master!B40</f>
        <v>Spring Bootプロジェクトの_x000B_準備、起動確認</v>
      </c>
      <c r="C59" s="75" t="str">
        <f>master!C40</f>
        <v>前提条件</v>
      </c>
      <c r="D59" s="122"/>
      <c r="E59" s="123"/>
      <c r="F59" s="124"/>
      <c r="G59" s="75" t="s">
        <v>47</v>
      </c>
      <c r="H59" s="76"/>
      <c r="I59" s="77" t="s">
        <v>26</v>
      </c>
      <c r="J59" s="78">
        <v>6.9444444444444447E-4</v>
      </c>
      <c r="K59" s="79"/>
      <c r="L59" s="6"/>
      <c r="M59" s="6"/>
      <c r="N59" s="6"/>
    </row>
    <row r="60" spans="1:14" ht="37.799999999999997">
      <c r="A60" s="11"/>
      <c r="B60" s="132"/>
      <c r="C60" s="75" t="str">
        <f>master!C41</f>
        <v>Spring Bootプロジェクトの準備</v>
      </c>
      <c r="D60" s="122" t="s">
        <v>189</v>
      </c>
      <c r="E60" s="123"/>
      <c r="F60" s="124"/>
      <c r="G60" s="75" t="s">
        <v>50</v>
      </c>
      <c r="H60" s="76"/>
      <c r="I60" s="77" t="s">
        <v>26</v>
      </c>
      <c r="J60" s="78">
        <v>6.9444444444444441E-3</v>
      </c>
      <c r="K60" s="79"/>
      <c r="L60" s="6"/>
      <c r="M60" s="6"/>
      <c r="N60" s="6"/>
    </row>
    <row r="61" spans="1:14" ht="25.2">
      <c r="A61" s="11"/>
      <c r="B61" s="132"/>
      <c r="C61" s="75" t="str">
        <f>master!C42</f>
        <v>（補足）Spring Bootプロジェクトの準備</v>
      </c>
      <c r="D61" s="122" t="s">
        <v>190</v>
      </c>
      <c r="E61" s="123"/>
      <c r="F61" s="124"/>
      <c r="G61" s="75" t="s">
        <v>55</v>
      </c>
      <c r="H61" s="76"/>
      <c r="I61" s="77" t="s">
        <v>57</v>
      </c>
      <c r="J61" s="78">
        <v>0</v>
      </c>
      <c r="K61" s="79"/>
      <c r="L61" s="6"/>
      <c r="M61" s="6"/>
      <c r="N61" s="6"/>
    </row>
    <row r="62" spans="1:14" ht="88.2">
      <c r="A62" s="11"/>
      <c r="B62" s="132"/>
      <c r="C62" s="75" t="str">
        <f>master!C43</f>
        <v>Spring Bootアプリケーションの起動確認</v>
      </c>
      <c r="D62" s="122" t="s">
        <v>213</v>
      </c>
      <c r="E62" s="123"/>
      <c r="F62" s="124"/>
      <c r="G62" s="75" t="s">
        <v>54</v>
      </c>
      <c r="H62" s="76"/>
      <c r="I62" s="77" t="s">
        <v>57</v>
      </c>
      <c r="J62" s="78">
        <v>6.9444444444444441E-3</v>
      </c>
      <c r="K62" s="79"/>
      <c r="L62" s="6"/>
      <c r="M62" s="6"/>
      <c r="N62" s="6"/>
    </row>
    <row r="63" spans="1:14" ht="50.4">
      <c r="A63" s="11"/>
      <c r="B63" s="132"/>
      <c r="C63" s="75" t="str">
        <f>master!C44</f>
        <v>ECサイト Webアプリの要件 – はじめに</v>
      </c>
      <c r="D63" s="122" t="s">
        <v>191</v>
      </c>
      <c r="E63" s="123"/>
      <c r="F63" s="124"/>
      <c r="G63" s="75" t="s">
        <v>51</v>
      </c>
      <c r="H63" s="76"/>
      <c r="I63" s="77" t="s">
        <v>26</v>
      </c>
      <c r="J63" s="78">
        <v>6.9444444444444447E-4</v>
      </c>
      <c r="K63" s="79"/>
      <c r="L63" s="6"/>
      <c r="M63" s="6"/>
      <c r="N63" s="6"/>
    </row>
    <row r="64" spans="1:14" ht="151.19999999999999">
      <c r="A64" s="11"/>
      <c r="B64" s="132"/>
      <c r="C64" s="75" t="str">
        <f>master!C45</f>
        <v>ECサイト Webアプリの要件➊ 画面</v>
      </c>
      <c r="D64" s="122" t="s">
        <v>194</v>
      </c>
      <c r="E64" s="123"/>
      <c r="F64" s="124"/>
      <c r="G64" s="75" t="s">
        <v>107</v>
      </c>
      <c r="H64" s="76"/>
      <c r="I64" s="77" t="s">
        <v>26</v>
      </c>
      <c r="J64" s="78">
        <v>6.9444444444444447E-4</v>
      </c>
      <c r="K64" s="79"/>
      <c r="L64" s="6"/>
      <c r="M64" s="6"/>
      <c r="N64" s="6"/>
    </row>
    <row r="65" spans="1:14" ht="214.2">
      <c r="A65" s="11"/>
      <c r="B65" s="132"/>
      <c r="C65" s="75" t="str">
        <f>master!C46</f>
        <v>ECサイト Webアプリの要件➋ 機能</v>
      </c>
      <c r="D65" s="122" t="s">
        <v>195</v>
      </c>
      <c r="E65" s="123"/>
      <c r="F65" s="124"/>
      <c r="G65" s="75" t="s">
        <v>193</v>
      </c>
      <c r="H65" s="76"/>
      <c r="I65" s="77" t="s">
        <v>26</v>
      </c>
      <c r="J65" s="78">
        <v>6.9444444444444447E-4</v>
      </c>
      <c r="K65" s="79"/>
      <c r="L65" s="6"/>
      <c r="M65" s="6"/>
      <c r="N65" s="6"/>
    </row>
    <row r="66" spans="1:14" ht="63">
      <c r="A66" s="11"/>
      <c r="B66" s="132"/>
      <c r="C66" s="75" t="str">
        <f>master!C47</f>
        <v>ECサイト Webアプリの要件➌ 画面遷移</v>
      </c>
      <c r="D66" s="122" t="s">
        <v>196</v>
      </c>
      <c r="E66" s="123"/>
      <c r="F66" s="124"/>
      <c r="G66" s="75" t="s">
        <v>49</v>
      </c>
      <c r="H66" s="76"/>
      <c r="I66" s="77" t="s">
        <v>26</v>
      </c>
      <c r="J66" s="78">
        <v>1.3888888888888889E-3</v>
      </c>
      <c r="K66" s="79"/>
      <c r="L66" s="6"/>
      <c r="M66" s="6"/>
      <c r="N66" s="6"/>
    </row>
    <row r="67" spans="1:14" ht="163.80000000000001">
      <c r="A67" s="11"/>
      <c r="B67" s="132"/>
      <c r="C67" s="75" t="str">
        <f>master!C48</f>
        <v>ECサイト Webアプリの要件❹ データ設計</v>
      </c>
      <c r="D67" s="122" t="s">
        <v>198</v>
      </c>
      <c r="E67" s="123"/>
      <c r="F67" s="124"/>
      <c r="G67" s="75" t="s">
        <v>132</v>
      </c>
      <c r="H67" s="76"/>
      <c r="I67" s="77" t="s">
        <v>26</v>
      </c>
      <c r="J67" s="78">
        <v>2.0833333333333333E-3</v>
      </c>
      <c r="K67" s="79"/>
      <c r="L67" s="6"/>
      <c r="M67" s="6"/>
      <c r="N67" s="6"/>
    </row>
    <row r="68" spans="1:14" ht="50.4">
      <c r="A68" s="11"/>
      <c r="B68" s="132"/>
      <c r="C68" s="75" t="str">
        <f>master!C49</f>
        <v>ECサイト Webアプリの要件❺ 初期データ</v>
      </c>
      <c r="D68" s="122" t="s">
        <v>199</v>
      </c>
      <c r="E68" s="123"/>
      <c r="F68" s="124"/>
      <c r="G68" s="75" t="s">
        <v>51</v>
      </c>
      <c r="H68" s="76"/>
      <c r="I68" s="77" t="s">
        <v>26</v>
      </c>
      <c r="J68" s="78">
        <v>6.9444444444444447E-4</v>
      </c>
      <c r="K68" s="79"/>
      <c r="L68" s="6"/>
      <c r="M68" s="6"/>
      <c r="N68" s="6"/>
    </row>
    <row r="69" spans="1:14" ht="37.799999999999997">
      <c r="A69" s="11"/>
      <c r="B69" s="132"/>
      <c r="C69" s="75" t="str">
        <f>master!C50</f>
        <v>ECサイト Webアプリの要件❻ ディレクトリ構成</v>
      </c>
      <c r="D69" s="122" t="s">
        <v>200</v>
      </c>
      <c r="E69" s="123"/>
      <c r="F69" s="124"/>
      <c r="G69" s="75" t="s">
        <v>50</v>
      </c>
      <c r="H69" s="76"/>
      <c r="I69" s="77" t="s">
        <v>26</v>
      </c>
      <c r="J69" s="78">
        <v>1.0416666666666666E-2</v>
      </c>
      <c r="K69" s="79"/>
      <c r="L69" s="6"/>
      <c r="M69" s="6"/>
      <c r="N69" s="6"/>
    </row>
    <row r="70" spans="1:14" ht="37.799999999999997">
      <c r="A70" s="11"/>
      <c r="B70" s="132"/>
      <c r="C70" s="75" t="str">
        <f>master!C51</f>
        <v>ECサイト Webアプリの要件❼ パッケージ構成</v>
      </c>
      <c r="D70" s="122" t="s">
        <v>202</v>
      </c>
      <c r="E70" s="123"/>
      <c r="F70" s="124"/>
      <c r="G70" s="75" t="s">
        <v>50</v>
      </c>
      <c r="H70" s="76"/>
      <c r="I70" s="77" t="s">
        <v>26</v>
      </c>
      <c r="J70" s="78">
        <v>3.472222222222222E-3</v>
      </c>
      <c r="K70" s="79"/>
      <c r="L70" s="6"/>
      <c r="M70" s="6"/>
      <c r="N70" s="6"/>
    </row>
    <row r="71" spans="1:14" ht="37.799999999999997">
      <c r="A71" s="11"/>
      <c r="B71" s="132"/>
      <c r="C71" s="75" t="str">
        <f>master!C52</f>
        <v>ECサイト Webアプリの要件❽ リソース構成</v>
      </c>
      <c r="D71" s="122" t="s">
        <v>201</v>
      </c>
      <c r="E71" s="123"/>
      <c r="F71" s="124"/>
      <c r="G71" s="75" t="s">
        <v>50</v>
      </c>
      <c r="H71" s="76"/>
      <c r="I71" s="77" t="s">
        <v>26</v>
      </c>
      <c r="J71" s="78">
        <v>6.9444444444444447E-4</v>
      </c>
      <c r="K71" s="79"/>
      <c r="L71" s="6"/>
      <c r="M71" s="6"/>
      <c r="N71" s="6"/>
    </row>
    <row r="72" spans="1:14" ht="25.2" customHeight="1">
      <c r="A72" s="11"/>
      <c r="B72" s="131" t="str">
        <f>master!B53</f>
        <v>バイブコーディング：ハンズオン</v>
      </c>
      <c r="C72" s="75" t="str">
        <f>master!C53</f>
        <v>バイブコーディング – はじめに</v>
      </c>
      <c r="D72" s="122" t="s">
        <v>203</v>
      </c>
      <c r="E72" s="123"/>
      <c r="F72" s="124"/>
      <c r="G72" s="75" t="s">
        <v>55</v>
      </c>
      <c r="H72" s="76"/>
      <c r="I72" s="77" t="s">
        <v>26</v>
      </c>
      <c r="J72" s="78">
        <v>1.0416666666666666E-2</v>
      </c>
      <c r="K72" s="79"/>
      <c r="L72" s="6"/>
      <c r="M72" s="6"/>
      <c r="N72" s="6"/>
    </row>
    <row r="73" spans="1:14" ht="138.6">
      <c r="A73" s="11"/>
      <c r="B73" s="132"/>
      <c r="C73" s="75" t="str">
        <f>master!C54</f>
        <v>[構造理解] Webアプリケーションで必要なもの</v>
      </c>
      <c r="D73" s="122" t="s">
        <v>204</v>
      </c>
      <c r="E73" s="123"/>
      <c r="F73" s="124"/>
      <c r="G73" s="75" t="s">
        <v>48</v>
      </c>
      <c r="H73" s="76"/>
      <c r="I73" s="77" t="s">
        <v>26</v>
      </c>
      <c r="J73" s="78">
        <v>1.3888888888888889E-3</v>
      </c>
      <c r="K73" s="79"/>
      <c r="L73" s="6"/>
      <c r="M73" s="6"/>
      <c r="N73" s="6"/>
    </row>
    <row r="74" spans="1:14" ht="50.4">
      <c r="A74" s="11"/>
      <c r="B74" s="132"/>
      <c r="C74" s="95" t="str">
        <f>master!C55</f>
        <v>バイブコーディング➊ 画面モックアップを作ってデザインを決める</v>
      </c>
      <c r="D74" s="122" t="s">
        <v>214</v>
      </c>
      <c r="E74" s="123"/>
      <c r="F74" s="124"/>
      <c r="G74" s="75" t="s">
        <v>51</v>
      </c>
      <c r="H74" s="76"/>
      <c r="I74" s="77" t="s">
        <v>26</v>
      </c>
      <c r="J74" s="78">
        <v>1.3888888888888888E-2</v>
      </c>
      <c r="K74" s="79"/>
      <c r="L74" s="6"/>
      <c r="M74" s="6"/>
      <c r="N74" s="6"/>
    </row>
    <row r="75" spans="1:14" ht="88.2" customHeight="1">
      <c r="A75" s="11"/>
      <c r="B75" s="132"/>
      <c r="C75" s="96"/>
      <c r="D75" s="122" t="s">
        <v>205</v>
      </c>
      <c r="E75" s="123"/>
      <c r="F75" s="124"/>
      <c r="G75" s="75" t="s">
        <v>54</v>
      </c>
      <c r="H75" s="76"/>
      <c r="I75" s="77"/>
      <c r="J75" s="78"/>
      <c r="K75" s="79"/>
      <c r="L75" s="6"/>
      <c r="M75" s="6"/>
      <c r="N75" s="6"/>
    </row>
    <row r="76" spans="1:14" ht="50.4">
      <c r="A76" s="11"/>
      <c r="B76" s="132"/>
      <c r="C76" s="95" t="str">
        <f>master!C56</f>
        <v>バイブコーディング➋ データベースのテーブルを準備する</v>
      </c>
      <c r="D76" s="122" t="s">
        <v>218</v>
      </c>
      <c r="E76" s="123"/>
      <c r="F76" s="124"/>
      <c r="G76" s="75" t="s">
        <v>51</v>
      </c>
      <c r="H76" s="76"/>
      <c r="I76" s="77" t="s">
        <v>26</v>
      </c>
      <c r="J76" s="78">
        <v>1.3888888888888889E-3</v>
      </c>
      <c r="K76" s="79"/>
      <c r="L76" s="6"/>
      <c r="M76" s="6"/>
      <c r="N76" s="6"/>
    </row>
    <row r="77" spans="1:14" ht="88.2">
      <c r="A77" s="11"/>
      <c r="B77" s="132"/>
      <c r="C77" s="96"/>
      <c r="D77" s="122" t="s">
        <v>205</v>
      </c>
      <c r="E77" s="123"/>
      <c r="F77" s="124"/>
      <c r="G77" s="75" t="s">
        <v>54</v>
      </c>
      <c r="H77" s="76"/>
      <c r="I77" s="77"/>
      <c r="J77" s="78"/>
      <c r="K77" s="79"/>
      <c r="L77" s="6"/>
      <c r="M77" s="6"/>
      <c r="N77" s="6"/>
    </row>
    <row r="78" spans="1:14" ht="50.4">
      <c r="A78" s="11"/>
      <c r="B78" s="132"/>
      <c r="C78" s="95" t="str">
        <f>master!C57</f>
        <v>バイブコーディング➌ データベースのデータを準備する</v>
      </c>
      <c r="D78" s="122" t="s">
        <v>217</v>
      </c>
      <c r="E78" s="123"/>
      <c r="F78" s="124"/>
      <c r="G78" s="75" t="s">
        <v>51</v>
      </c>
      <c r="H78" s="76"/>
      <c r="I78" s="77" t="s">
        <v>26</v>
      </c>
      <c r="J78" s="78">
        <v>1.3888888888888889E-3</v>
      </c>
      <c r="K78" s="79"/>
      <c r="L78" s="6"/>
      <c r="M78" s="6"/>
      <c r="N78" s="6"/>
    </row>
    <row r="79" spans="1:14" ht="88.2">
      <c r="A79" s="11"/>
      <c r="B79" s="132"/>
      <c r="C79" s="96"/>
      <c r="D79" s="122" t="s">
        <v>205</v>
      </c>
      <c r="E79" s="123"/>
      <c r="F79" s="124"/>
      <c r="G79" s="75" t="s">
        <v>54</v>
      </c>
      <c r="H79" s="76"/>
      <c r="I79" s="77"/>
      <c r="J79" s="78"/>
      <c r="K79" s="79"/>
      <c r="L79" s="6"/>
      <c r="M79" s="6"/>
      <c r="N79" s="6"/>
    </row>
    <row r="80" spans="1:14" ht="63">
      <c r="A80" s="11"/>
      <c r="B80" s="132"/>
      <c r="C80" s="95" t="str">
        <f>master!C58</f>
        <v>バイブコーディング❹ データベース処理とビジネスロジックを作る</v>
      </c>
      <c r="D80" s="122" t="s">
        <v>216</v>
      </c>
      <c r="E80" s="123"/>
      <c r="F80" s="124"/>
      <c r="G80" s="75" t="s">
        <v>49</v>
      </c>
      <c r="H80" s="76"/>
      <c r="I80" s="77" t="s">
        <v>26</v>
      </c>
      <c r="J80" s="78">
        <v>3.472222222222222E-3</v>
      </c>
      <c r="K80" s="79"/>
      <c r="L80" s="6"/>
      <c r="M80" s="6"/>
      <c r="N80" s="6"/>
    </row>
    <row r="81" spans="1:14" ht="88.2">
      <c r="A81" s="11"/>
      <c r="B81" s="132"/>
      <c r="C81" s="96"/>
      <c r="D81" s="122" t="s">
        <v>205</v>
      </c>
      <c r="E81" s="123"/>
      <c r="F81" s="124"/>
      <c r="G81" s="75" t="s">
        <v>54</v>
      </c>
      <c r="H81" s="76"/>
      <c r="I81" s="77"/>
      <c r="J81" s="78"/>
      <c r="K81" s="79"/>
      <c r="L81" s="6"/>
      <c r="M81" s="6"/>
      <c r="N81" s="6"/>
    </row>
    <row r="82" spans="1:14" ht="50.4">
      <c r="A82" s="11"/>
      <c r="B82" s="132"/>
      <c r="C82" s="75" t="str">
        <f>master!C59</f>
        <v>[解説] RepositoryクラスとSQLの例（抜粋）</v>
      </c>
      <c r="D82" s="122" t="s">
        <v>206</v>
      </c>
      <c r="E82" s="123"/>
      <c r="F82" s="124"/>
      <c r="G82" s="75" t="s">
        <v>51</v>
      </c>
      <c r="H82" s="76"/>
      <c r="I82" s="77" t="s">
        <v>26</v>
      </c>
      <c r="J82" s="78">
        <v>2.0833333333333333E-3</v>
      </c>
      <c r="K82" s="79"/>
      <c r="L82" s="6"/>
      <c r="M82" s="6"/>
      <c r="N82" s="6"/>
    </row>
    <row r="83" spans="1:14" ht="50.4">
      <c r="A83" s="11"/>
      <c r="B83" s="132"/>
      <c r="C83" s="75" t="str">
        <f>master!C60</f>
        <v>[解説] Entity/Modelクラスの例（抜粋）</v>
      </c>
      <c r="D83" s="122" t="s">
        <v>207</v>
      </c>
      <c r="E83" s="123"/>
      <c r="F83" s="124"/>
      <c r="G83" s="75" t="s">
        <v>51</v>
      </c>
      <c r="H83" s="76"/>
      <c r="I83" s="77" t="s">
        <v>26</v>
      </c>
      <c r="J83" s="78">
        <v>1.3888888888888889E-3</v>
      </c>
      <c r="K83" s="79"/>
      <c r="L83" s="6"/>
      <c r="M83" s="6"/>
      <c r="N83" s="6"/>
    </row>
    <row r="84" spans="1:14" ht="37.799999999999997">
      <c r="A84" s="11"/>
      <c r="B84" s="132"/>
      <c r="C84" s="75" t="str">
        <f>master!C61</f>
        <v>[解説] Serviceクラスの例（抜粋）</v>
      </c>
      <c r="D84" s="122" t="s">
        <v>208</v>
      </c>
      <c r="E84" s="123"/>
      <c r="F84" s="124"/>
      <c r="G84" s="75" t="s">
        <v>50</v>
      </c>
      <c r="H84" s="76"/>
      <c r="I84" s="77" t="s">
        <v>26</v>
      </c>
      <c r="J84" s="78">
        <v>6.9444444444444447E-4</v>
      </c>
      <c r="K84" s="79"/>
      <c r="L84" s="6"/>
      <c r="M84" s="6"/>
      <c r="N84" s="6"/>
    </row>
    <row r="85" spans="1:14" ht="50.4">
      <c r="A85" s="11"/>
      <c r="B85" s="132"/>
      <c r="C85" s="95" t="str">
        <f>master!C62</f>
        <v>バイブコーディング❺ モックアップをもとに画面表示/処理を作る</v>
      </c>
      <c r="D85" s="122" t="s">
        <v>215</v>
      </c>
      <c r="E85" s="123"/>
      <c r="F85" s="124"/>
      <c r="G85" s="75" t="s">
        <v>51</v>
      </c>
      <c r="H85" s="76"/>
      <c r="I85" s="77" t="s">
        <v>26</v>
      </c>
      <c r="J85" s="78">
        <v>6.9444444444444441E-3</v>
      </c>
      <c r="K85" s="79"/>
      <c r="L85" s="6"/>
      <c r="M85" s="6"/>
      <c r="N85" s="6"/>
    </row>
    <row r="86" spans="1:14" ht="88.2">
      <c r="A86" s="11"/>
      <c r="B86" s="132"/>
      <c r="C86" s="96"/>
      <c r="D86" s="122" t="s">
        <v>205</v>
      </c>
      <c r="E86" s="123"/>
      <c r="F86" s="124"/>
      <c r="G86" s="75" t="s">
        <v>54</v>
      </c>
      <c r="H86" s="76"/>
      <c r="I86" s="77"/>
      <c r="J86" s="78"/>
      <c r="K86" s="79"/>
      <c r="L86" s="6"/>
      <c r="M86" s="6"/>
      <c r="N86" s="6"/>
    </row>
    <row r="87" spans="1:14" ht="37.799999999999997">
      <c r="A87" s="11"/>
      <c r="B87" s="132"/>
      <c r="C87" s="75" t="str">
        <f>master!C63</f>
        <v>[解説] Controllerクラスの例（抜粋）</v>
      </c>
      <c r="D87" s="122" t="s">
        <v>209</v>
      </c>
      <c r="E87" s="123"/>
      <c r="F87" s="124"/>
      <c r="G87" s="75" t="s">
        <v>50</v>
      </c>
      <c r="H87" s="76"/>
      <c r="I87" s="77" t="s">
        <v>26</v>
      </c>
      <c r="J87" s="78">
        <v>1.3888888888888889E-3</v>
      </c>
      <c r="K87" s="79"/>
      <c r="L87" s="6"/>
      <c r="M87" s="6"/>
      <c r="N87" s="6"/>
    </row>
    <row r="88" spans="1:14" ht="37.799999999999997">
      <c r="A88" s="11"/>
      <c r="B88" s="132"/>
      <c r="C88" s="75" t="str">
        <f>master!C64</f>
        <v>[解説] Thymeleafテンプレートの例（抜粋）</v>
      </c>
      <c r="D88" s="122" t="s">
        <v>210</v>
      </c>
      <c r="E88" s="123"/>
      <c r="F88" s="124"/>
      <c r="G88" s="75" t="s">
        <v>50</v>
      </c>
      <c r="H88" s="76"/>
      <c r="I88" s="77" t="s">
        <v>26</v>
      </c>
      <c r="J88" s="78">
        <v>1.3888888888888889E-3</v>
      </c>
      <c r="K88" s="79"/>
      <c r="L88" s="6"/>
      <c r="M88" s="6"/>
      <c r="N88" s="6"/>
    </row>
    <row r="89" spans="1:14" ht="37.799999999999997">
      <c r="A89" s="11"/>
      <c r="B89" s="132"/>
      <c r="C89" s="75" t="str">
        <f>master!C65</f>
        <v>[解説] Formクラスの例（抜粋）</v>
      </c>
      <c r="D89" s="122" t="s">
        <v>211</v>
      </c>
      <c r="E89" s="123"/>
      <c r="F89" s="124"/>
      <c r="G89" s="75" t="s">
        <v>50</v>
      </c>
      <c r="H89" s="76"/>
      <c r="I89" s="77" t="s">
        <v>26</v>
      </c>
      <c r="J89" s="78">
        <v>6.9444444444444447E-4</v>
      </c>
      <c r="K89" s="79"/>
      <c r="L89" s="6"/>
      <c r="M89" s="6"/>
      <c r="N89" s="6"/>
    </row>
    <row r="90" spans="1:14" ht="75.599999999999994">
      <c r="A90" s="11"/>
      <c r="B90" s="132"/>
      <c r="C90" s="95" t="str">
        <f>master!C66</f>
        <v>バイブコーディング❻ 動作を確認する</v>
      </c>
      <c r="D90" s="122" t="s">
        <v>212</v>
      </c>
      <c r="E90" s="123"/>
      <c r="F90" s="124"/>
      <c r="G90" s="75" t="s">
        <v>52</v>
      </c>
      <c r="H90" s="76"/>
      <c r="I90" s="77" t="s">
        <v>26</v>
      </c>
      <c r="J90" s="78">
        <v>6.9444444444444447E-4</v>
      </c>
      <c r="K90" s="79"/>
      <c r="L90" s="6"/>
      <c r="M90" s="6"/>
      <c r="N90" s="6"/>
    </row>
    <row r="91" spans="1:14" ht="63">
      <c r="A91" s="11"/>
      <c r="B91" s="133"/>
      <c r="C91" s="96"/>
      <c r="D91" s="122" t="s">
        <v>219</v>
      </c>
      <c r="E91" s="123"/>
      <c r="F91" s="124"/>
      <c r="G91" s="75" t="s">
        <v>49</v>
      </c>
      <c r="H91" s="76"/>
      <c r="I91" s="77" t="s">
        <v>26</v>
      </c>
      <c r="J91" s="78">
        <v>6.9444444444444441E-3</v>
      </c>
      <c r="K91" s="79"/>
      <c r="L91" s="6"/>
      <c r="M91" s="6"/>
      <c r="N91" s="6"/>
    </row>
    <row r="92" spans="1:14" ht="100.8">
      <c r="A92" s="11"/>
      <c r="B92" s="131" t="str">
        <f>master!B69</f>
        <v>Gitとは</v>
      </c>
      <c r="C92" s="75" t="str">
        <f>master!C69</f>
        <v>Gitとは</v>
      </c>
      <c r="D92" s="122" t="s">
        <v>223</v>
      </c>
      <c r="E92" s="123"/>
      <c r="F92" s="124"/>
      <c r="G92" s="75" t="s">
        <v>56</v>
      </c>
      <c r="H92" s="76"/>
      <c r="I92" s="77" t="s">
        <v>26</v>
      </c>
      <c r="J92" s="78">
        <v>3.472222222222222E-3</v>
      </c>
      <c r="K92" s="79"/>
      <c r="L92" s="6"/>
      <c r="M92" s="6"/>
      <c r="N92" s="6"/>
    </row>
    <row r="93" spans="1:14" ht="189">
      <c r="A93" s="11"/>
      <c r="B93" s="133"/>
      <c r="C93" s="75" t="str">
        <f>master!C70</f>
        <v>Gitの基本的な流れ</v>
      </c>
      <c r="D93" s="122" t="s">
        <v>230</v>
      </c>
      <c r="E93" s="123"/>
      <c r="F93" s="124"/>
      <c r="G93" s="75" t="s">
        <v>135</v>
      </c>
      <c r="H93" s="76"/>
      <c r="I93" s="77" t="s">
        <v>26</v>
      </c>
      <c r="J93" s="78">
        <v>3.472222222222222E-3</v>
      </c>
      <c r="K93" s="79"/>
      <c r="L93" s="6"/>
      <c r="M93" s="6"/>
      <c r="N93" s="6"/>
    </row>
    <row r="94" spans="1:14" ht="126">
      <c r="A94" s="11"/>
      <c r="B94" s="131" t="str">
        <f>master!B71</f>
        <v>VS Code上でGitを使う手順</v>
      </c>
      <c r="C94" s="75" t="str">
        <f>master!C71</f>
        <v>VS Code上でGitを使う手順-1 【ユーザ名等の登録】</v>
      </c>
      <c r="D94" s="122" t="s">
        <v>224</v>
      </c>
      <c r="E94" s="123"/>
      <c r="F94" s="124"/>
      <c r="G94" s="75" t="s">
        <v>225</v>
      </c>
      <c r="H94" s="76"/>
      <c r="I94" s="77" t="s">
        <v>26</v>
      </c>
      <c r="J94" s="78">
        <v>6.9444444444444441E-3</v>
      </c>
      <c r="K94" s="79"/>
      <c r="L94" s="6"/>
      <c r="M94" s="6"/>
      <c r="N94" s="6"/>
    </row>
    <row r="95" spans="1:14" ht="37.799999999999997">
      <c r="A95" s="11"/>
      <c r="B95" s="132"/>
      <c r="C95" s="75" t="str">
        <f>master!C72</f>
        <v>VS Code上でGitを使う手順-2 【リポジトリの初期化】</v>
      </c>
      <c r="D95" s="122" t="s">
        <v>226</v>
      </c>
      <c r="E95" s="123"/>
      <c r="F95" s="124"/>
      <c r="G95" s="75" t="s">
        <v>50</v>
      </c>
      <c r="H95" s="76"/>
      <c r="I95" s="77" t="s">
        <v>26</v>
      </c>
      <c r="J95" s="78">
        <v>3.472222222222222E-3</v>
      </c>
      <c r="K95" s="79"/>
      <c r="L95" s="6"/>
      <c r="M95" s="6"/>
      <c r="N95" s="6"/>
    </row>
    <row r="96" spans="1:14" ht="50.4">
      <c r="A96" s="11"/>
      <c r="B96" s="132"/>
      <c r="C96" s="75" t="str">
        <f>master!C73</f>
        <v>VS Code上でGitを使う手順-3 【最初のcommit】</v>
      </c>
      <c r="D96" s="122" t="s">
        <v>227</v>
      </c>
      <c r="E96" s="123"/>
      <c r="F96" s="124"/>
      <c r="G96" s="75" t="s">
        <v>51</v>
      </c>
      <c r="H96" s="76"/>
      <c r="I96" s="77" t="s">
        <v>26</v>
      </c>
      <c r="J96" s="78">
        <v>3.472222222222222E-3</v>
      </c>
      <c r="K96" s="79"/>
      <c r="L96" s="6"/>
      <c r="M96" s="6"/>
      <c r="N96" s="6"/>
    </row>
    <row r="97" spans="1:14" ht="50.4">
      <c r="A97" s="11"/>
      <c r="B97" s="132"/>
      <c r="C97" s="75" t="str">
        <f>master!C74</f>
        <v>VS Code上でGitを使う手順-4 【2回目以降のコミット】</v>
      </c>
      <c r="D97" s="122" t="s">
        <v>228</v>
      </c>
      <c r="E97" s="123"/>
      <c r="F97" s="124"/>
      <c r="G97" s="75" t="s">
        <v>51</v>
      </c>
      <c r="H97" s="76"/>
      <c r="I97" s="77" t="s">
        <v>26</v>
      </c>
      <c r="J97" s="78">
        <v>3.472222222222222E-3</v>
      </c>
      <c r="K97" s="79"/>
      <c r="L97" s="6"/>
      <c r="M97" s="6"/>
      <c r="N97" s="6"/>
    </row>
    <row r="98" spans="1:14" ht="37.799999999999997">
      <c r="A98" s="11"/>
      <c r="B98" s="132"/>
      <c r="C98" s="75" t="str">
        <f>master!C75</f>
        <v>VS Code上でGitを使う手順-5 【過去のcommitの確認】</v>
      </c>
      <c r="D98" s="122" t="s">
        <v>229</v>
      </c>
      <c r="E98" s="123"/>
      <c r="F98" s="124"/>
      <c r="G98" s="75" t="s">
        <v>50</v>
      </c>
      <c r="H98" s="76"/>
      <c r="I98" s="77" t="s">
        <v>26</v>
      </c>
      <c r="J98" s="78">
        <v>3.472222222222222E-3</v>
      </c>
      <c r="K98" s="79"/>
      <c r="L98" s="6"/>
      <c r="M98" s="6"/>
      <c r="N98" s="6"/>
    </row>
    <row r="99" spans="1:14" ht="63">
      <c r="A99" s="11"/>
      <c r="B99" s="133"/>
      <c r="C99" s="75" t="str">
        <f>master!C76</f>
        <v>VS Code上でGitを使う手順-6 【過去の状態に戻す】</v>
      </c>
      <c r="D99" s="122" t="s">
        <v>231</v>
      </c>
      <c r="E99" s="123"/>
      <c r="F99" s="124"/>
      <c r="G99" s="75" t="s">
        <v>49</v>
      </c>
      <c r="H99" s="76"/>
      <c r="I99" s="77" t="s">
        <v>26</v>
      </c>
      <c r="J99" s="78">
        <v>3.472222222222222E-3</v>
      </c>
      <c r="K99" s="79"/>
      <c r="L99" s="6"/>
      <c r="M99" s="6"/>
      <c r="N99" s="6"/>
    </row>
    <row r="100" spans="1:14" ht="214.2">
      <c r="A100" s="11"/>
      <c r="B100" s="94" t="str">
        <f>master!B67</f>
        <v>バイブコーディング：演習</v>
      </c>
      <c r="C100" s="75" t="str">
        <f>master!C67</f>
        <v>ここから各自で演習を始めましょう。</v>
      </c>
      <c r="D100" s="122" t="s">
        <v>222</v>
      </c>
      <c r="E100" s="123"/>
      <c r="F100" s="124"/>
      <c r="G100" s="75" t="s">
        <v>193</v>
      </c>
      <c r="H100" s="76"/>
      <c r="I100" s="77" t="s">
        <v>26</v>
      </c>
      <c r="J100" s="78" t="s">
        <v>232</v>
      </c>
      <c r="K100" s="79"/>
      <c r="L100" s="6"/>
      <c r="M100" s="6"/>
      <c r="N100" s="6"/>
    </row>
    <row r="101" spans="1:14" ht="88.2">
      <c r="A101" s="11"/>
      <c r="B101" s="98" t="str">
        <f>master!B78</f>
        <v>導入</v>
      </c>
      <c r="C101" s="97" t="str">
        <f>master!C78</f>
        <v>講義の目的</v>
      </c>
      <c r="D101" s="116" t="s">
        <v>266</v>
      </c>
      <c r="E101" s="117"/>
      <c r="F101" s="118"/>
      <c r="G101" s="55" t="s">
        <v>54</v>
      </c>
      <c r="H101" s="12"/>
      <c r="I101" s="52" t="s">
        <v>26</v>
      </c>
      <c r="J101" s="50">
        <v>1.3888888888888889E-3</v>
      </c>
      <c r="K101" s="46"/>
      <c r="L101" s="6"/>
      <c r="M101" s="6"/>
      <c r="N101" s="6"/>
    </row>
    <row r="102" spans="1:14" ht="37.799999999999997">
      <c r="A102" s="11"/>
      <c r="B102" s="119" t="str">
        <f>master!B79</f>
        <v>システム開発におけるソフトウェア開発ライフサイクル</v>
      </c>
      <c r="C102" s="97" t="str">
        <f>master!C79</f>
        <v>ソフトウェア開発ライフサイクル</v>
      </c>
      <c r="D102" s="116" t="s">
        <v>267</v>
      </c>
      <c r="E102" s="117"/>
      <c r="F102" s="118"/>
      <c r="G102" s="55" t="s">
        <v>50</v>
      </c>
      <c r="H102" s="12"/>
      <c r="I102" s="52" t="s">
        <v>26</v>
      </c>
      <c r="J102" s="50">
        <v>1.3888888888888889E-3</v>
      </c>
      <c r="K102" s="46"/>
      <c r="L102" s="6"/>
      <c r="M102" s="6"/>
      <c r="N102" s="6"/>
    </row>
    <row r="103" spans="1:14" ht="277.2">
      <c r="A103" s="11"/>
      <c r="B103" s="120"/>
      <c r="C103" s="97" t="str">
        <f>master!C80</f>
        <v>ソフトウェア開発ライフサイクルの種類</v>
      </c>
      <c r="D103" s="116" t="s">
        <v>269</v>
      </c>
      <c r="E103" s="117"/>
      <c r="F103" s="118"/>
      <c r="G103" s="55" t="s">
        <v>268</v>
      </c>
      <c r="H103" s="12"/>
      <c r="I103" s="52" t="s">
        <v>26</v>
      </c>
      <c r="J103" s="50">
        <v>6.9444444444444441E-3</v>
      </c>
      <c r="K103" s="46"/>
      <c r="L103" s="6"/>
      <c r="M103" s="6"/>
      <c r="N103" s="6"/>
    </row>
    <row r="104" spans="1:14" ht="151.19999999999999">
      <c r="A104" s="11"/>
      <c r="B104" s="119" t="str">
        <f>master!B81</f>
        <v>TERASOLUNAとは</v>
      </c>
      <c r="C104" s="97" t="s">
        <v>244</v>
      </c>
      <c r="D104" s="116" t="s">
        <v>270</v>
      </c>
      <c r="E104" s="117"/>
      <c r="F104" s="118"/>
      <c r="G104" s="55" t="s">
        <v>107</v>
      </c>
      <c r="H104" s="12"/>
      <c r="I104" s="52" t="s">
        <v>26</v>
      </c>
      <c r="J104" s="50">
        <v>2.0833333333333333E-3</v>
      </c>
      <c r="K104" s="46"/>
      <c r="L104" s="6"/>
      <c r="M104" s="6"/>
      <c r="N104" s="6"/>
    </row>
    <row r="105" spans="1:14" ht="138.6">
      <c r="A105" s="11"/>
      <c r="B105" s="120"/>
      <c r="C105" s="97" t="s">
        <v>245</v>
      </c>
      <c r="D105" s="116" t="s">
        <v>271</v>
      </c>
      <c r="E105" s="117"/>
      <c r="F105" s="118"/>
      <c r="G105" s="55" t="s">
        <v>48</v>
      </c>
      <c r="H105" s="12"/>
      <c r="I105" s="52" t="s">
        <v>26</v>
      </c>
      <c r="J105" s="50">
        <v>2.0833333333333333E-3</v>
      </c>
      <c r="K105" s="46"/>
      <c r="L105" s="6"/>
      <c r="M105" s="6"/>
      <c r="N105" s="6"/>
    </row>
    <row r="106" spans="1:14" ht="189">
      <c r="A106" s="11"/>
      <c r="B106" s="119" t="str">
        <f>master!B83</f>
        <v>V字モデルとは</v>
      </c>
      <c r="C106" s="97" t="s">
        <v>248</v>
      </c>
      <c r="D106" s="116" t="s">
        <v>272</v>
      </c>
      <c r="E106" s="117"/>
      <c r="F106" s="118"/>
      <c r="G106" s="55" t="s">
        <v>135</v>
      </c>
      <c r="H106" s="12"/>
      <c r="I106" s="52" t="s">
        <v>26</v>
      </c>
      <c r="J106" s="50">
        <v>3.472222222222222E-3</v>
      </c>
      <c r="K106" s="46"/>
      <c r="L106" s="6"/>
      <c r="M106" s="6"/>
      <c r="N106" s="6"/>
    </row>
    <row r="107" spans="1:14" ht="100.8">
      <c r="A107" s="11"/>
      <c r="B107" s="121"/>
      <c r="C107" s="97" t="s">
        <v>246</v>
      </c>
      <c r="D107" s="116" t="s">
        <v>273</v>
      </c>
      <c r="E107" s="117"/>
      <c r="F107" s="118"/>
      <c r="G107" s="55" t="s">
        <v>56</v>
      </c>
      <c r="H107" s="12"/>
      <c r="I107" s="52" t="s">
        <v>26</v>
      </c>
      <c r="J107" s="50">
        <v>3.472222222222222E-3</v>
      </c>
      <c r="K107" s="46"/>
      <c r="L107" s="6"/>
      <c r="M107" s="6"/>
      <c r="N107" s="6"/>
    </row>
    <row r="108" spans="1:14" ht="113.4">
      <c r="A108" s="11"/>
      <c r="B108" s="121"/>
      <c r="C108" s="97" t="s">
        <v>250</v>
      </c>
      <c r="D108" s="116" t="s">
        <v>274</v>
      </c>
      <c r="E108" s="117"/>
      <c r="F108" s="118"/>
      <c r="G108" s="55" t="s">
        <v>53</v>
      </c>
      <c r="H108" s="12"/>
      <c r="I108" s="52" t="s">
        <v>26</v>
      </c>
      <c r="J108" s="50">
        <v>3.472222222222222E-3</v>
      </c>
      <c r="K108" s="46"/>
      <c r="L108" s="6"/>
      <c r="M108" s="6"/>
      <c r="N108" s="6"/>
    </row>
    <row r="109" spans="1:14" ht="302.39999999999998">
      <c r="A109" s="11"/>
      <c r="B109" s="121"/>
      <c r="C109" s="97" t="s">
        <v>252</v>
      </c>
      <c r="D109" s="116" t="s">
        <v>276</v>
      </c>
      <c r="E109" s="117"/>
      <c r="F109" s="118"/>
      <c r="G109" s="55" t="s">
        <v>275</v>
      </c>
      <c r="H109" s="12"/>
      <c r="I109" s="52" t="s">
        <v>26</v>
      </c>
      <c r="J109" s="50">
        <v>1.0416666666666666E-2</v>
      </c>
      <c r="K109" s="46"/>
      <c r="L109" s="6"/>
      <c r="M109" s="6"/>
      <c r="N109" s="6"/>
    </row>
    <row r="110" spans="1:14" ht="138.6">
      <c r="A110" s="11"/>
      <c r="B110" s="121"/>
      <c r="C110" s="97" t="s">
        <v>254</v>
      </c>
      <c r="D110" s="116" t="s">
        <v>277</v>
      </c>
      <c r="E110" s="117"/>
      <c r="F110" s="118"/>
      <c r="G110" s="55" t="s">
        <v>48</v>
      </c>
      <c r="H110" s="12"/>
      <c r="I110" s="52" t="s">
        <v>26</v>
      </c>
      <c r="J110" s="50">
        <v>6.9444444444444441E-3</v>
      </c>
      <c r="K110" s="46"/>
      <c r="L110" s="6"/>
      <c r="M110" s="6"/>
      <c r="N110" s="6"/>
    </row>
    <row r="111" spans="1:14" ht="88.2">
      <c r="A111" s="11"/>
      <c r="B111" s="121"/>
      <c r="C111" s="97" t="s">
        <v>256</v>
      </c>
      <c r="D111" s="116" t="s">
        <v>278</v>
      </c>
      <c r="E111" s="117"/>
      <c r="F111" s="118"/>
      <c r="G111" s="55" t="s">
        <v>54</v>
      </c>
      <c r="H111" s="12"/>
      <c r="I111" s="52" t="s">
        <v>26</v>
      </c>
      <c r="J111" s="50">
        <v>3.472222222222222E-3</v>
      </c>
      <c r="K111" s="46"/>
      <c r="L111" s="6"/>
      <c r="M111" s="6"/>
      <c r="N111" s="6"/>
    </row>
    <row r="112" spans="1:14" ht="75.599999999999994">
      <c r="A112" s="11"/>
      <c r="B112" s="121"/>
      <c r="C112" s="97" t="s">
        <v>258</v>
      </c>
      <c r="D112" s="116" t="s">
        <v>279</v>
      </c>
      <c r="E112" s="117"/>
      <c r="F112" s="118"/>
      <c r="G112" s="55" t="s">
        <v>52</v>
      </c>
      <c r="H112" s="12"/>
      <c r="I112" s="52" t="s">
        <v>26</v>
      </c>
      <c r="J112" s="50">
        <v>3.472222222222222E-3</v>
      </c>
      <c r="K112" s="46"/>
      <c r="L112" s="6"/>
      <c r="M112" s="6"/>
      <c r="N112" s="6"/>
    </row>
    <row r="113" spans="1:14" ht="113.4">
      <c r="A113" s="11"/>
      <c r="B113" s="121"/>
      <c r="C113" s="97" t="s">
        <v>260</v>
      </c>
      <c r="D113" s="116" t="s">
        <v>280</v>
      </c>
      <c r="E113" s="117"/>
      <c r="F113" s="118"/>
      <c r="G113" s="55" t="s">
        <v>53</v>
      </c>
      <c r="H113" s="12"/>
      <c r="I113" s="52" t="s">
        <v>26</v>
      </c>
      <c r="J113" s="50">
        <v>3.472222222222222E-3</v>
      </c>
      <c r="K113" s="46"/>
      <c r="L113" s="6"/>
      <c r="M113" s="6"/>
      <c r="N113" s="6"/>
    </row>
    <row r="114" spans="1:14" ht="126">
      <c r="A114" s="11"/>
      <c r="B114" s="121"/>
      <c r="C114" s="97" t="s">
        <v>281</v>
      </c>
      <c r="D114" s="116" t="s">
        <v>282</v>
      </c>
      <c r="E114" s="117"/>
      <c r="F114" s="118"/>
      <c r="G114" s="55" t="s">
        <v>225</v>
      </c>
      <c r="H114" s="12"/>
      <c r="I114" s="52" t="s">
        <v>26</v>
      </c>
      <c r="J114" s="50">
        <v>2.0833333333333333E-3</v>
      </c>
      <c r="K114" s="46"/>
      <c r="L114" s="6"/>
      <c r="M114" s="6"/>
      <c r="N114" s="6"/>
    </row>
    <row r="115" spans="1:14" ht="88.2">
      <c r="A115" s="11"/>
      <c r="B115" s="121"/>
      <c r="C115" s="97" t="s">
        <v>263</v>
      </c>
      <c r="D115" s="116" t="s">
        <v>283</v>
      </c>
      <c r="E115" s="117"/>
      <c r="F115" s="118"/>
      <c r="G115" s="55" t="s">
        <v>54</v>
      </c>
      <c r="H115" s="12"/>
      <c r="I115" s="52" t="s">
        <v>26</v>
      </c>
      <c r="J115" s="50">
        <v>2.0833333333333333E-3</v>
      </c>
      <c r="K115" s="46"/>
      <c r="L115" s="6"/>
      <c r="M115" s="6"/>
      <c r="N115" s="6"/>
    </row>
    <row r="116" spans="1:14" ht="138.6">
      <c r="A116" s="11"/>
      <c r="B116" s="121"/>
      <c r="C116" s="97" t="s">
        <v>264</v>
      </c>
      <c r="D116" s="116" t="s">
        <v>284</v>
      </c>
      <c r="E116" s="117"/>
      <c r="F116" s="118"/>
      <c r="G116" s="55" t="s">
        <v>48</v>
      </c>
      <c r="H116" s="12"/>
      <c r="I116" s="52" t="s">
        <v>26</v>
      </c>
      <c r="J116" s="50">
        <v>2.0833333333333333E-3</v>
      </c>
      <c r="K116" s="46"/>
      <c r="L116" s="6"/>
      <c r="M116" s="6"/>
      <c r="N116" s="6"/>
    </row>
    <row r="117" spans="1:14" ht="24" customHeight="1">
      <c r="A117" s="11"/>
      <c r="B117" s="120"/>
      <c r="C117" s="97" t="s">
        <v>265</v>
      </c>
      <c r="D117" s="116"/>
      <c r="E117" s="117"/>
      <c r="F117" s="118"/>
      <c r="G117" s="55" t="s">
        <v>55</v>
      </c>
      <c r="H117" s="12"/>
      <c r="I117" s="52" t="s">
        <v>26</v>
      </c>
      <c r="J117" s="50">
        <v>6.9444444444444447E-4</v>
      </c>
      <c r="K117" s="46"/>
      <c r="L117" s="6"/>
      <c r="M117" s="6"/>
      <c r="N117" s="6"/>
    </row>
    <row r="118" spans="1:14" ht="37.799999999999997">
      <c r="A118" s="11"/>
      <c r="B118" s="75" t="str">
        <f>master!B67</f>
        <v>バイブコーディング：演習</v>
      </c>
      <c r="C118" s="75" t="str">
        <f>master!C67</f>
        <v>ここから各自で演習を始めましょう。</v>
      </c>
      <c r="D118" s="122" t="s">
        <v>340</v>
      </c>
      <c r="E118" s="123"/>
      <c r="F118" s="124"/>
      <c r="G118" s="75" t="s">
        <v>50</v>
      </c>
      <c r="H118" s="76"/>
      <c r="I118" s="77" t="s">
        <v>26</v>
      </c>
      <c r="J118" s="78" t="s">
        <v>232</v>
      </c>
      <c r="K118" s="79"/>
      <c r="L118" s="6"/>
      <c r="M118" s="6"/>
      <c r="N118" s="6"/>
    </row>
    <row r="119" spans="1:14" ht="50.4">
      <c r="A119" s="11"/>
      <c r="B119" s="119" t="str">
        <f>master!B96</f>
        <v>導入</v>
      </c>
      <c r="C119" s="97" t="str">
        <f>master!C96</f>
        <v>講義の目的</v>
      </c>
      <c r="D119" s="116" t="s">
        <v>314</v>
      </c>
      <c r="E119" s="117"/>
      <c r="F119" s="118"/>
      <c r="G119" s="55" t="s">
        <v>51</v>
      </c>
      <c r="H119" s="12"/>
      <c r="I119" s="52" t="s">
        <v>26</v>
      </c>
      <c r="J119" s="50">
        <v>6.9444444444444447E-4</v>
      </c>
      <c r="K119" s="46"/>
      <c r="L119" s="6"/>
      <c r="M119" s="6"/>
      <c r="N119" s="6"/>
    </row>
    <row r="120" spans="1:14" ht="25.2">
      <c r="A120" s="11"/>
      <c r="B120" s="121"/>
      <c r="C120" s="97" t="str">
        <f>master!C97</f>
        <v>TERASOLUNA 開発手順　 ※再掲</v>
      </c>
      <c r="D120" s="116"/>
      <c r="E120" s="117"/>
      <c r="F120" s="118"/>
      <c r="G120" s="55" t="s">
        <v>55</v>
      </c>
      <c r="H120" s="12"/>
      <c r="I120" s="52" t="s">
        <v>26</v>
      </c>
      <c r="J120" s="50">
        <v>6.9444444444444447E-4</v>
      </c>
      <c r="K120" s="46"/>
      <c r="L120" s="6"/>
      <c r="M120" s="6"/>
      <c r="N120" s="6"/>
    </row>
    <row r="121" spans="1:14" ht="25.2">
      <c r="A121" s="11"/>
      <c r="B121" s="120"/>
      <c r="C121" s="97" t="str">
        <f>master!C98</f>
        <v>V字モデル　 ※再掲</v>
      </c>
      <c r="D121" s="116" t="s">
        <v>315</v>
      </c>
      <c r="E121" s="117"/>
      <c r="F121" s="118"/>
      <c r="G121" s="55" t="s">
        <v>55</v>
      </c>
      <c r="H121" s="12"/>
      <c r="I121" s="52" t="s">
        <v>26</v>
      </c>
      <c r="J121" s="50">
        <v>6.9444444444444447E-4</v>
      </c>
      <c r="K121" s="46"/>
      <c r="L121" s="6"/>
      <c r="M121" s="6"/>
      <c r="N121" s="6"/>
    </row>
    <row r="122" spans="1:14" ht="50.4">
      <c r="A122" s="11"/>
      <c r="B122" s="119" t="str">
        <f>master!B99</f>
        <v>テストとは</v>
      </c>
      <c r="C122" s="97" t="str">
        <f>master!C99</f>
        <v>テストとは</v>
      </c>
      <c r="D122" s="116" t="s">
        <v>316</v>
      </c>
      <c r="E122" s="117"/>
      <c r="F122" s="118"/>
      <c r="G122" s="55" t="s">
        <v>51</v>
      </c>
      <c r="H122" s="12"/>
      <c r="I122" s="52" t="s">
        <v>26</v>
      </c>
      <c r="J122" s="50">
        <v>2.0833333333333333E-3</v>
      </c>
      <c r="K122" s="46"/>
      <c r="L122" s="6"/>
      <c r="M122" s="6"/>
      <c r="N122" s="6"/>
    </row>
    <row r="123" spans="1:14" ht="315">
      <c r="A123" s="11"/>
      <c r="B123" s="121"/>
      <c r="C123" s="97" t="str">
        <f>master!C100</f>
        <v>テストの目的</v>
      </c>
      <c r="D123" s="116" t="s">
        <v>318</v>
      </c>
      <c r="E123" s="117"/>
      <c r="F123" s="118"/>
      <c r="G123" s="55" t="s">
        <v>319</v>
      </c>
      <c r="H123" s="12"/>
      <c r="I123" s="52" t="s">
        <v>26</v>
      </c>
      <c r="J123" s="50">
        <v>6.9444444444444441E-3</v>
      </c>
      <c r="K123" s="46"/>
      <c r="L123" s="6"/>
      <c r="M123" s="6"/>
      <c r="N123" s="6"/>
    </row>
    <row r="124" spans="1:14" ht="25.2">
      <c r="A124" s="11"/>
      <c r="B124" s="121"/>
      <c r="C124" s="97" t="str">
        <f>master!C101</f>
        <v>テストを実施しなかった場合…</v>
      </c>
      <c r="D124" s="116" t="s">
        <v>320</v>
      </c>
      <c r="E124" s="117"/>
      <c r="F124" s="118"/>
      <c r="G124" s="55" t="s">
        <v>55</v>
      </c>
      <c r="H124" s="12"/>
      <c r="I124" s="52" t="s">
        <v>26</v>
      </c>
      <c r="J124" s="50">
        <v>2.0833333333333333E-3</v>
      </c>
      <c r="K124" s="46"/>
      <c r="L124" s="6"/>
      <c r="M124" s="6"/>
      <c r="N124" s="6"/>
    </row>
    <row r="125" spans="1:14" ht="100.8">
      <c r="A125" s="11"/>
      <c r="B125" s="120"/>
      <c r="C125" s="97" t="str">
        <f>master!C102</f>
        <v>コラム：テストとデバッグ</v>
      </c>
      <c r="D125" s="116" t="s">
        <v>321</v>
      </c>
      <c r="E125" s="117"/>
      <c r="F125" s="118"/>
      <c r="G125" s="55" t="s">
        <v>56</v>
      </c>
      <c r="H125" s="12"/>
      <c r="I125" s="52" t="s">
        <v>26</v>
      </c>
      <c r="J125" s="50">
        <v>2.0833333333333333E-3</v>
      </c>
      <c r="K125" s="46"/>
      <c r="L125" s="6"/>
      <c r="M125" s="6"/>
      <c r="N125" s="6"/>
    </row>
    <row r="126" spans="1:14" ht="50.4">
      <c r="A126" s="11"/>
      <c r="B126" s="119" t="str">
        <f>master!B103</f>
        <v>単体テストとは</v>
      </c>
      <c r="C126" s="97" t="str">
        <f>master!C103</f>
        <v>単体テスト（Unit Test）とは</v>
      </c>
      <c r="D126" s="116" t="s">
        <v>322</v>
      </c>
      <c r="E126" s="117"/>
      <c r="F126" s="118"/>
      <c r="G126" s="55" t="s">
        <v>51</v>
      </c>
      <c r="H126" s="12"/>
      <c r="I126" s="52" t="s">
        <v>26</v>
      </c>
      <c r="J126" s="50">
        <v>6.9444444444444447E-4</v>
      </c>
      <c r="K126" s="46"/>
      <c r="L126" s="6"/>
      <c r="M126" s="6"/>
      <c r="N126" s="6"/>
    </row>
    <row r="127" spans="1:14" ht="25.2">
      <c r="A127" s="11"/>
      <c r="B127" s="121"/>
      <c r="C127" s="97" t="str">
        <f>master!C104</f>
        <v xml:space="preserve">V字モデル　– 製造/単体テスト –　※再掲 </v>
      </c>
      <c r="D127" s="116"/>
      <c r="E127" s="117"/>
      <c r="F127" s="118"/>
      <c r="G127" s="55" t="s">
        <v>55</v>
      </c>
      <c r="H127" s="12"/>
      <c r="I127" s="52" t="s">
        <v>26</v>
      </c>
      <c r="J127" s="50">
        <v>6.9444444444444447E-4</v>
      </c>
      <c r="K127" s="46"/>
      <c r="L127" s="6"/>
      <c r="M127" s="6"/>
      <c r="N127" s="6"/>
    </row>
    <row r="128" spans="1:14" ht="302.39999999999998">
      <c r="A128" s="11"/>
      <c r="B128" s="121"/>
      <c r="C128" s="97" t="str">
        <f>master!C105</f>
        <v>テスト設計の流れ</v>
      </c>
      <c r="D128" s="116" t="s">
        <v>323</v>
      </c>
      <c r="E128" s="117"/>
      <c r="F128" s="118"/>
      <c r="G128" s="55" t="s">
        <v>275</v>
      </c>
      <c r="H128" s="12"/>
      <c r="I128" s="52" t="s">
        <v>26</v>
      </c>
      <c r="J128" s="50">
        <v>6.9444444444444441E-3</v>
      </c>
      <c r="K128" s="46"/>
      <c r="L128" s="6"/>
      <c r="M128" s="6"/>
      <c r="N128" s="6"/>
    </row>
    <row r="129" spans="1:14" ht="37.799999999999997">
      <c r="A129" s="11"/>
      <c r="B129" s="121"/>
      <c r="C129" s="97" t="str">
        <f>master!C106</f>
        <v>テスト設計の例</v>
      </c>
      <c r="D129" s="116" t="s">
        <v>324</v>
      </c>
      <c r="E129" s="117"/>
      <c r="F129" s="118"/>
      <c r="G129" s="55" t="s">
        <v>50</v>
      </c>
      <c r="H129" s="12"/>
      <c r="I129" s="52" t="s">
        <v>26</v>
      </c>
      <c r="J129" s="50">
        <v>6.9444444444444441E-3</v>
      </c>
      <c r="K129" s="46"/>
      <c r="L129" s="6"/>
      <c r="M129" s="6"/>
      <c r="N129" s="6"/>
    </row>
    <row r="130" spans="1:14" ht="75.599999999999994">
      <c r="A130" s="11"/>
      <c r="B130" s="121"/>
      <c r="C130" s="97" t="str">
        <f>master!C107</f>
        <v>単体テスト（Unit Test）とは</v>
      </c>
      <c r="D130" s="116" t="s">
        <v>325</v>
      </c>
      <c r="E130" s="117"/>
      <c r="F130" s="118"/>
      <c r="G130" s="55" t="s">
        <v>52</v>
      </c>
      <c r="H130" s="12"/>
      <c r="I130" s="52" t="s">
        <v>26</v>
      </c>
      <c r="J130" s="50">
        <v>6.9444444444444447E-4</v>
      </c>
      <c r="K130" s="46"/>
      <c r="L130" s="6"/>
      <c r="M130" s="6"/>
      <c r="N130" s="6"/>
    </row>
    <row r="131" spans="1:14" ht="113.4">
      <c r="A131" s="11"/>
      <c r="B131" s="121"/>
      <c r="C131" s="97" t="str">
        <f>master!C108</f>
        <v>テスト技法 – ブラックボックステスト技法 –</v>
      </c>
      <c r="D131" s="116" t="s">
        <v>326</v>
      </c>
      <c r="E131" s="117"/>
      <c r="F131" s="118"/>
      <c r="G131" s="55" t="s">
        <v>53</v>
      </c>
      <c r="H131" s="12"/>
      <c r="I131" s="52" t="s">
        <v>26</v>
      </c>
      <c r="J131" s="50">
        <v>2.0833333333333333E-3</v>
      </c>
      <c r="K131" s="46"/>
      <c r="L131" s="6"/>
      <c r="M131" s="6"/>
      <c r="N131" s="6"/>
    </row>
    <row r="132" spans="1:14" ht="201.6">
      <c r="A132" s="11"/>
      <c r="B132" s="121"/>
      <c r="C132" s="97" t="str">
        <f>master!C109</f>
        <v>ブラックボックステスト：同値分割法</v>
      </c>
      <c r="D132" s="116" t="s">
        <v>329</v>
      </c>
      <c r="E132" s="117"/>
      <c r="F132" s="118"/>
      <c r="G132" s="55" t="s">
        <v>129</v>
      </c>
      <c r="H132" s="12"/>
      <c r="I132" s="52" t="s">
        <v>26</v>
      </c>
      <c r="J132" s="50">
        <v>6.9444444444444441E-3</v>
      </c>
      <c r="K132" s="46"/>
      <c r="L132" s="6"/>
      <c r="M132" s="6"/>
      <c r="N132" s="6"/>
    </row>
    <row r="133" spans="1:14" ht="113.4">
      <c r="A133" s="11"/>
      <c r="B133" s="121"/>
      <c r="C133" s="97" t="str">
        <f>master!C110</f>
        <v>ブラックボックステスト：境界値分析</v>
      </c>
      <c r="D133" s="116" t="s">
        <v>328</v>
      </c>
      <c r="E133" s="117"/>
      <c r="F133" s="118"/>
      <c r="G133" s="55" t="s">
        <v>53</v>
      </c>
      <c r="H133" s="12"/>
      <c r="I133" s="52" t="s">
        <v>26</v>
      </c>
      <c r="J133" s="50">
        <v>6.9444444444444441E-3</v>
      </c>
      <c r="K133" s="46"/>
      <c r="L133" s="6"/>
      <c r="M133" s="6"/>
      <c r="N133" s="6"/>
    </row>
    <row r="134" spans="1:14" ht="176.4">
      <c r="A134" s="11"/>
      <c r="B134" s="121"/>
      <c r="C134" s="97" t="str">
        <f>master!C111</f>
        <v>ブラックボックステスト：ディシジョンテーブルテスト</v>
      </c>
      <c r="D134" s="116" t="s">
        <v>327</v>
      </c>
      <c r="E134" s="117"/>
      <c r="F134" s="118"/>
      <c r="G134" s="55" t="s">
        <v>317</v>
      </c>
      <c r="H134" s="12"/>
      <c r="I134" s="52" t="s">
        <v>26</v>
      </c>
      <c r="J134" s="50">
        <v>6.9444444444444441E-3</v>
      </c>
      <c r="K134" s="46"/>
      <c r="L134" s="6"/>
      <c r="M134" s="6"/>
      <c r="N134" s="6"/>
    </row>
    <row r="135" spans="1:14" ht="37.799999999999997">
      <c r="A135" s="11"/>
      <c r="B135" s="121"/>
      <c r="C135" s="97" t="str">
        <f>master!C112</f>
        <v>ブラックボックステスト：状態遷移テスト</v>
      </c>
      <c r="D135" s="116" t="s">
        <v>330</v>
      </c>
      <c r="E135" s="117"/>
      <c r="F135" s="118"/>
      <c r="G135" s="55" t="s">
        <v>50</v>
      </c>
      <c r="H135" s="12"/>
      <c r="I135" s="52" t="s">
        <v>26</v>
      </c>
      <c r="J135" s="50">
        <v>3.472222222222222E-3</v>
      </c>
      <c r="K135" s="46"/>
      <c r="L135" s="6"/>
      <c r="M135" s="6"/>
      <c r="N135" s="6"/>
    </row>
    <row r="136" spans="1:14" ht="88.2">
      <c r="A136" s="11"/>
      <c r="B136" s="121"/>
      <c r="C136" s="97" t="str">
        <f>master!C113</f>
        <v>テスト技法 – ホワイトボックステスト技法 –</v>
      </c>
      <c r="D136" s="116" t="s">
        <v>331</v>
      </c>
      <c r="E136" s="117"/>
      <c r="F136" s="118"/>
      <c r="G136" s="55" t="s">
        <v>54</v>
      </c>
      <c r="H136" s="12"/>
      <c r="I136" s="52" t="s">
        <v>26</v>
      </c>
      <c r="J136" s="50">
        <v>2.0833333333333333E-3</v>
      </c>
      <c r="K136" s="46"/>
      <c r="L136" s="6"/>
      <c r="M136" s="6"/>
      <c r="N136" s="6"/>
    </row>
    <row r="137" spans="1:14" ht="151.19999999999999">
      <c r="A137" s="11"/>
      <c r="B137" s="121"/>
      <c r="C137" s="97" t="str">
        <f>master!C114</f>
        <v>ホワイトボックステストの評価基準</v>
      </c>
      <c r="D137" s="116" t="s">
        <v>332</v>
      </c>
      <c r="E137" s="117"/>
      <c r="F137" s="118"/>
      <c r="G137" s="55" t="s">
        <v>107</v>
      </c>
      <c r="H137" s="12"/>
      <c r="I137" s="52" t="s">
        <v>26</v>
      </c>
      <c r="J137" s="50">
        <v>3.472222222222222E-3</v>
      </c>
      <c r="K137" s="46"/>
      <c r="L137" s="6"/>
      <c r="M137" s="6"/>
      <c r="N137" s="6"/>
    </row>
    <row r="138" spans="1:14" ht="37.799999999999997">
      <c r="A138" s="11"/>
      <c r="B138" s="121"/>
      <c r="C138" s="97" t="str">
        <f>master!C115</f>
        <v>ホワイトボックステスト：ステートメントテスト</v>
      </c>
      <c r="D138" s="116" t="s">
        <v>333</v>
      </c>
      <c r="E138" s="117"/>
      <c r="F138" s="118"/>
      <c r="G138" s="55" t="s">
        <v>50</v>
      </c>
      <c r="H138" s="12"/>
      <c r="I138" s="52" t="s">
        <v>26</v>
      </c>
      <c r="J138" s="50">
        <v>3.472222222222222E-3</v>
      </c>
      <c r="K138" s="46"/>
      <c r="L138" s="6"/>
      <c r="M138" s="6"/>
      <c r="N138" s="6"/>
    </row>
    <row r="139" spans="1:14" ht="37.799999999999997">
      <c r="A139" s="11"/>
      <c r="B139" s="121"/>
      <c r="C139" s="97" t="str">
        <f>master!C116</f>
        <v>ホワイトボックステスト：ブランチテスト</v>
      </c>
      <c r="D139" s="116" t="s">
        <v>334</v>
      </c>
      <c r="E139" s="117"/>
      <c r="F139" s="118"/>
      <c r="G139" s="55" t="s">
        <v>50</v>
      </c>
      <c r="H139" s="12"/>
      <c r="I139" s="52" t="s">
        <v>26</v>
      </c>
      <c r="J139" s="50">
        <v>3.472222222222222E-3</v>
      </c>
      <c r="K139" s="46"/>
      <c r="L139" s="6"/>
      <c r="M139" s="6"/>
      <c r="N139" s="6"/>
    </row>
    <row r="140" spans="1:14" ht="37.799999999999997">
      <c r="A140" s="11"/>
      <c r="B140" s="121"/>
      <c r="C140" s="97" t="str">
        <f>master!C117</f>
        <v>ホワイトボックステスト：コンディションテスト</v>
      </c>
      <c r="D140" s="116" t="s">
        <v>335</v>
      </c>
      <c r="E140" s="117"/>
      <c r="F140" s="118"/>
      <c r="G140" s="55" t="s">
        <v>50</v>
      </c>
      <c r="H140" s="12"/>
      <c r="I140" s="52" t="s">
        <v>26</v>
      </c>
      <c r="J140" s="50">
        <v>3.472222222222222E-3</v>
      </c>
      <c r="K140" s="46"/>
      <c r="L140" s="6"/>
      <c r="M140" s="6"/>
      <c r="N140" s="6"/>
    </row>
    <row r="141" spans="1:14" ht="100.8">
      <c r="A141" s="11"/>
      <c r="B141" s="121"/>
      <c r="C141" s="97" t="str">
        <f>master!C118</f>
        <v>テスト技法 – 経験ベースの技法 –</v>
      </c>
      <c r="D141" s="116" t="s">
        <v>336</v>
      </c>
      <c r="E141" s="117"/>
      <c r="F141" s="118"/>
      <c r="G141" s="55" t="s">
        <v>56</v>
      </c>
      <c r="H141" s="12"/>
      <c r="I141" s="52" t="s">
        <v>26</v>
      </c>
      <c r="J141" s="50">
        <v>6.9444444444444441E-3</v>
      </c>
      <c r="K141" s="46"/>
      <c r="L141" s="6"/>
      <c r="M141" s="6"/>
      <c r="N141" s="6"/>
    </row>
    <row r="142" spans="1:14" ht="100.8">
      <c r="A142" s="11"/>
      <c r="B142" s="121"/>
      <c r="C142" s="97" t="str">
        <f>master!C119</f>
        <v>スタブとドライバ</v>
      </c>
      <c r="D142" s="116" t="s">
        <v>337</v>
      </c>
      <c r="E142" s="117"/>
      <c r="F142" s="118"/>
      <c r="G142" s="55" t="s">
        <v>56</v>
      </c>
      <c r="H142" s="12"/>
      <c r="I142" s="52" t="s">
        <v>26</v>
      </c>
      <c r="J142" s="50">
        <v>3.472222222222222E-3</v>
      </c>
      <c r="K142" s="46"/>
      <c r="L142" s="6"/>
      <c r="M142" s="6"/>
      <c r="N142" s="6"/>
    </row>
    <row r="143" spans="1:14" ht="75.599999999999994">
      <c r="A143" s="11"/>
      <c r="B143" s="120"/>
      <c r="C143" s="97" t="str">
        <f>master!C120</f>
        <v>スタブとモック</v>
      </c>
      <c r="D143" s="116" t="s">
        <v>338</v>
      </c>
      <c r="E143" s="117"/>
      <c r="F143" s="118"/>
      <c r="G143" s="55" t="s">
        <v>52</v>
      </c>
      <c r="H143" s="12"/>
      <c r="I143" s="52" t="s">
        <v>26</v>
      </c>
      <c r="J143" s="50">
        <v>3.472222222222222E-3</v>
      </c>
      <c r="K143" s="46"/>
      <c r="L143" s="6"/>
      <c r="M143" s="6"/>
      <c r="N143" s="6"/>
    </row>
    <row r="144" spans="1:14" ht="37.799999999999997">
      <c r="A144" s="11"/>
      <c r="B144" s="119" t="str">
        <f>master!B121</f>
        <v>Junit</v>
      </c>
      <c r="C144" s="97" t="str">
        <f>master!C121</f>
        <v>JUnitとは</v>
      </c>
      <c r="D144" s="116" t="s">
        <v>339</v>
      </c>
      <c r="E144" s="117"/>
      <c r="F144" s="118"/>
      <c r="G144" s="55" t="s">
        <v>50</v>
      </c>
      <c r="H144" s="12"/>
      <c r="I144" s="52" t="s">
        <v>26</v>
      </c>
      <c r="J144" s="50">
        <v>1.3888888888888889E-3</v>
      </c>
      <c r="K144" s="46"/>
      <c r="L144" s="6"/>
      <c r="M144" s="6"/>
      <c r="N144" s="6"/>
    </row>
    <row r="145" spans="1:14" ht="25.2">
      <c r="A145" s="11"/>
      <c r="B145" s="120"/>
      <c r="C145" s="97" t="str">
        <f>master!C122</f>
        <v>参考文献</v>
      </c>
      <c r="D145" s="116"/>
      <c r="E145" s="117"/>
      <c r="F145" s="118"/>
      <c r="G145" s="55" t="s">
        <v>55</v>
      </c>
      <c r="H145" s="12"/>
      <c r="I145" s="52" t="s">
        <v>26</v>
      </c>
      <c r="J145" s="50">
        <v>6.9444444444444447E-4</v>
      </c>
      <c r="K145" s="46"/>
      <c r="L145" s="6"/>
      <c r="M145" s="6"/>
      <c r="N145" s="6"/>
    </row>
    <row r="146" spans="1:14" ht="37.799999999999997">
      <c r="A146" s="11"/>
      <c r="B146" s="75" t="str">
        <f>master!B67</f>
        <v>バイブコーディング：演習</v>
      </c>
      <c r="C146" s="75" t="str">
        <f>master!C67</f>
        <v>ここから各自で演習を始めましょう。</v>
      </c>
      <c r="D146" s="122" t="s">
        <v>340</v>
      </c>
      <c r="E146" s="123"/>
      <c r="F146" s="124"/>
      <c r="G146" s="75" t="s">
        <v>50</v>
      </c>
      <c r="H146" s="76"/>
      <c r="I146" s="77" t="s">
        <v>26</v>
      </c>
      <c r="J146" s="78" t="s">
        <v>232</v>
      </c>
      <c r="K146" s="79"/>
      <c r="L146" s="6"/>
      <c r="M146" s="6"/>
      <c r="N146" s="6"/>
    </row>
    <row r="147" spans="1:14" ht="24" customHeight="1">
      <c r="A147" s="11"/>
      <c r="B147" s="98"/>
      <c r="C147" s="97"/>
      <c r="D147" s="116"/>
      <c r="E147" s="117"/>
      <c r="F147" s="118"/>
      <c r="G147" s="55" t="s">
        <v>55</v>
      </c>
      <c r="H147" s="12"/>
      <c r="I147" s="52" t="s">
        <v>26</v>
      </c>
      <c r="J147" s="50"/>
      <c r="K147" s="46"/>
      <c r="L147" s="6"/>
      <c r="M147" s="6"/>
      <c r="N147" s="6"/>
    </row>
    <row r="148" spans="1:14" ht="24" customHeight="1">
      <c r="A148" s="11"/>
      <c r="B148" s="98"/>
      <c r="C148" s="97"/>
      <c r="D148" s="116"/>
      <c r="E148" s="117"/>
      <c r="F148" s="118"/>
      <c r="G148" s="55" t="s">
        <v>55</v>
      </c>
      <c r="H148" s="12"/>
      <c r="I148" s="52" t="s">
        <v>26</v>
      </c>
      <c r="J148" s="50"/>
      <c r="K148" s="46"/>
      <c r="L148" s="6"/>
      <c r="M148" s="6"/>
      <c r="N148" s="6"/>
    </row>
    <row r="149" spans="1:14" ht="15" customHeight="1">
      <c r="J149" s="49"/>
    </row>
    <row r="150" spans="1:14" ht="15" customHeight="1"/>
  </sheetData>
  <mergeCells count="151">
    <mergeCell ref="B144:B145"/>
    <mergeCell ref="D117:F117"/>
    <mergeCell ref="D146:F146"/>
    <mergeCell ref="D131:F131"/>
    <mergeCell ref="D132:F132"/>
    <mergeCell ref="D133:F133"/>
    <mergeCell ref="D134:F134"/>
    <mergeCell ref="D135:F135"/>
    <mergeCell ref="D136:F136"/>
    <mergeCell ref="B119:B121"/>
    <mergeCell ref="B122:B125"/>
    <mergeCell ref="B126:B143"/>
    <mergeCell ref="D121:F121"/>
    <mergeCell ref="D122:F122"/>
    <mergeCell ref="D123:F123"/>
    <mergeCell ref="D124:F124"/>
    <mergeCell ref="D126:F126"/>
    <mergeCell ref="D127:F127"/>
    <mergeCell ref="D128:F128"/>
    <mergeCell ref="D129:F129"/>
    <mergeCell ref="D130:F130"/>
    <mergeCell ref="D97:F97"/>
    <mergeCell ref="D96:F96"/>
    <mergeCell ref="D95:F95"/>
    <mergeCell ref="D98:F98"/>
    <mergeCell ref="B94:B99"/>
    <mergeCell ref="D94:F94"/>
    <mergeCell ref="D93:F93"/>
    <mergeCell ref="D99:F99"/>
    <mergeCell ref="D92:F92"/>
    <mergeCell ref="B92:B93"/>
    <mergeCell ref="D77:F77"/>
    <mergeCell ref="D79:F79"/>
    <mergeCell ref="D81:F81"/>
    <mergeCell ref="D75:F75"/>
    <mergeCell ref="D86:F86"/>
    <mergeCell ref="D91:F91"/>
    <mergeCell ref="D83:F83"/>
    <mergeCell ref="D84:F84"/>
    <mergeCell ref="B72:B91"/>
    <mergeCell ref="D85:F85"/>
    <mergeCell ref="D87:F87"/>
    <mergeCell ref="D88:F88"/>
    <mergeCell ref="D89:F89"/>
    <mergeCell ref="D90:F90"/>
    <mergeCell ref="D78:F78"/>
    <mergeCell ref="D80:F80"/>
    <mergeCell ref="D82:F82"/>
    <mergeCell ref="B56:B58"/>
    <mergeCell ref="B59:B71"/>
    <mergeCell ref="D70:F70"/>
    <mergeCell ref="D71:F71"/>
    <mergeCell ref="D72:F72"/>
    <mergeCell ref="D73:F73"/>
    <mergeCell ref="D63:F63"/>
    <mergeCell ref="D57:F57"/>
    <mergeCell ref="D58:F58"/>
    <mergeCell ref="D59:F59"/>
    <mergeCell ref="D60:F60"/>
    <mergeCell ref="D76:F76"/>
    <mergeCell ref="D67:F67"/>
    <mergeCell ref="D68:F68"/>
    <mergeCell ref="D61:F61"/>
    <mergeCell ref="D62:F62"/>
    <mergeCell ref="D64:F64"/>
    <mergeCell ref="D65:F65"/>
    <mergeCell ref="D66:F66"/>
    <mergeCell ref="D69:F69"/>
    <mergeCell ref="D74:F74"/>
    <mergeCell ref="D56:F56"/>
    <mergeCell ref="D38:F38"/>
    <mergeCell ref="D39:F39"/>
    <mergeCell ref="D40:F40"/>
    <mergeCell ref="D41:F41"/>
    <mergeCell ref="D42:F42"/>
    <mergeCell ref="D43:F43"/>
    <mergeCell ref="D44:F44"/>
    <mergeCell ref="D45:F45"/>
    <mergeCell ref="D46:F46"/>
    <mergeCell ref="D47:F47"/>
    <mergeCell ref="D48:F48"/>
    <mergeCell ref="D49:F49"/>
    <mergeCell ref="D55:F55"/>
    <mergeCell ref="D37:F37"/>
    <mergeCell ref="B23:B28"/>
    <mergeCell ref="B29:B36"/>
    <mergeCell ref="B37:B55"/>
    <mergeCell ref="D50:F50"/>
    <mergeCell ref="D51:F51"/>
    <mergeCell ref="D52:F52"/>
    <mergeCell ref="D53:F53"/>
    <mergeCell ref="D54:F54"/>
    <mergeCell ref="D22:F22"/>
    <mergeCell ref="D36:F36"/>
    <mergeCell ref="D23:F23"/>
    <mergeCell ref="D29:F29"/>
    <mergeCell ref="D24:F24"/>
    <mergeCell ref="D26:F26"/>
    <mergeCell ref="D28:F28"/>
    <mergeCell ref="D35:F35"/>
    <mergeCell ref="D25:F25"/>
    <mergeCell ref="D27:F27"/>
    <mergeCell ref="D30:F30"/>
    <mergeCell ref="D31:F31"/>
    <mergeCell ref="D32:F32"/>
    <mergeCell ref="D33:F33"/>
    <mergeCell ref="D34:F34"/>
    <mergeCell ref="I20:J20"/>
    <mergeCell ref="H20:H21"/>
    <mergeCell ref="B4:E4"/>
    <mergeCell ref="B5:K6"/>
    <mergeCell ref="D20:F21"/>
    <mergeCell ref="G20:G21"/>
    <mergeCell ref="B20:B21"/>
    <mergeCell ref="C20:C21"/>
    <mergeCell ref="K20:K21"/>
    <mergeCell ref="D148:F148"/>
    <mergeCell ref="D147:F147"/>
    <mergeCell ref="D116:F116"/>
    <mergeCell ref="D119:F119"/>
    <mergeCell ref="D114:F114"/>
    <mergeCell ref="D115:F115"/>
    <mergeCell ref="D112:F112"/>
    <mergeCell ref="D113:F113"/>
    <mergeCell ref="D104:F104"/>
    <mergeCell ref="D105:F105"/>
    <mergeCell ref="D106:F106"/>
    <mergeCell ref="D107:F107"/>
    <mergeCell ref="D144:F144"/>
    <mergeCell ref="D145:F145"/>
    <mergeCell ref="D142:F142"/>
    <mergeCell ref="D143:F143"/>
    <mergeCell ref="D125:F125"/>
    <mergeCell ref="D137:F137"/>
    <mergeCell ref="D138:F138"/>
    <mergeCell ref="D139:F139"/>
    <mergeCell ref="D140:F140"/>
    <mergeCell ref="D141:F141"/>
    <mergeCell ref="D118:F118"/>
    <mergeCell ref="D120:F120"/>
    <mergeCell ref="D108:F108"/>
    <mergeCell ref="D109:F109"/>
    <mergeCell ref="D110:F110"/>
    <mergeCell ref="D111:F111"/>
    <mergeCell ref="B102:B103"/>
    <mergeCell ref="B104:B105"/>
    <mergeCell ref="B106:B117"/>
    <mergeCell ref="D100:F100"/>
    <mergeCell ref="D101:F101"/>
    <mergeCell ref="D103:F103"/>
    <mergeCell ref="D102:F102"/>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master!#REF!</xm:f>
          </x14:formula1>
          <xm:sqref>H22:H148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36"/>
  <sheetViews>
    <sheetView topLeftCell="A125" workbookViewId="0">
      <selection activeCell="C131" sqref="C131"/>
    </sheetView>
  </sheetViews>
  <sheetFormatPr defaultColWidth="8.88671875" defaultRowHeight="13.2"/>
  <cols>
    <col min="1" max="1" width="4.6640625" style="135" customWidth="1"/>
    <col min="2" max="2" width="40.109375" style="135" customWidth="1"/>
    <col min="3" max="3" width="44" style="135" bestFit="1" customWidth="1"/>
    <col min="4" max="16384" width="8.88671875" style="135"/>
  </cols>
  <sheetData>
    <row r="1" spans="2:3">
      <c r="B1" s="135" t="s">
        <v>63</v>
      </c>
    </row>
    <row r="2" spans="2:3">
      <c r="B2" s="136" t="s">
        <v>14</v>
      </c>
      <c r="C2" s="136" t="s">
        <v>15</v>
      </c>
    </row>
    <row r="3" spans="2:3">
      <c r="B3" s="135" t="s">
        <v>64</v>
      </c>
      <c r="C3" s="135" t="s">
        <v>64</v>
      </c>
    </row>
    <row r="4" spans="2:3">
      <c r="B4" s="135" t="s">
        <v>66</v>
      </c>
      <c r="C4" s="135" t="s">
        <v>65</v>
      </c>
    </row>
    <row r="5" spans="2:3">
      <c r="C5" s="135" t="s">
        <v>69</v>
      </c>
    </row>
    <row r="6" spans="2:3">
      <c r="C6" s="135" t="s">
        <v>96</v>
      </c>
    </row>
    <row r="7" spans="2:3">
      <c r="C7" s="135" t="s">
        <v>97</v>
      </c>
    </row>
    <row r="8" spans="2:3">
      <c r="C8" s="135" t="s">
        <v>70</v>
      </c>
    </row>
    <row r="9" spans="2:3">
      <c r="B9" s="135" t="s">
        <v>67</v>
      </c>
      <c r="C9" s="135" t="s">
        <v>67</v>
      </c>
    </row>
    <row r="10" spans="2:3">
      <c r="C10" s="135" t="s">
        <v>71</v>
      </c>
    </row>
    <row r="11" spans="2:3">
      <c r="C11" s="135" t="s">
        <v>72</v>
      </c>
    </row>
    <row r="12" spans="2:3">
      <c r="C12" s="135" t="s">
        <v>73</v>
      </c>
    </row>
    <row r="13" spans="2:3">
      <c r="C13" s="135" t="s">
        <v>74</v>
      </c>
    </row>
    <row r="14" spans="2:3">
      <c r="C14" s="135" t="s">
        <v>75</v>
      </c>
    </row>
    <row r="15" spans="2:3">
      <c r="C15" s="135" t="s">
        <v>76</v>
      </c>
    </row>
    <row r="16" spans="2:3">
      <c r="C16" s="135" t="s">
        <v>77</v>
      </c>
    </row>
    <row r="17" spans="2:3">
      <c r="B17" s="135" t="s">
        <v>68</v>
      </c>
      <c r="C17" s="135" t="s">
        <v>78</v>
      </c>
    </row>
    <row r="18" spans="2:3">
      <c r="C18" s="135" t="s">
        <v>79</v>
      </c>
    </row>
    <row r="19" spans="2:3">
      <c r="C19" s="135" t="s">
        <v>80</v>
      </c>
    </row>
    <row r="20" spans="2:3">
      <c r="C20" s="135" t="s">
        <v>81</v>
      </c>
    </row>
    <row r="21" spans="2:3">
      <c r="C21" s="135" t="s">
        <v>82</v>
      </c>
    </row>
    <row r="22" spans="2:3">
      <c r="C22" s="135" t="s">
        <v>83</v>
      </c>
    </row>
    <row r="23" spans="2:3">
      <c r="C23" s="135" t="s">
        <v>82</v>
      </c>
    </row>
    <row r="24" spans="2:3">
      <c r="C24" s="135" t="s">
        <v>84</v>
      </c>
    </row>
    <row r="25" spans="2:3">
      <c r="C25" s="135" t="s">
        <v>85</v>
      </c>
    </row>
    <row r="26" spans="2:3">
      <c r="C26" s="135" t="s">
        <v>86</v>
      </c>
    </row>
    <row r="27" spans="2:3">
      <c r="C27" s="135" t="s">
        <v>87</v>
      </c>
    </row>
    <row r="28" spans="2:3">
      <c r="C28" s="135" t="s">
        <v>88</v>
      </c>
    </row>
    <row r="29" spans="2:3">
      <c r="C29" s="135" t="s">
        <v>89</v>
      </c>
    </row>
    <row r="30" spans="2:3">
      <c r="C30" s="135" t="s">
        <v>90</v>
      </c>
    </row>
    <row r="31" spans="2:3">
      <c r="C31" s="135" t="s">
        <v>91</v>
      </c>
    </row>
    <row r="32" spans="2:3">
      <c r="C32" s="135" t="s">
        <v>92</v>
      </c>
    </row>
    <row r="33" spans="2:3">
      <c r="C33" s="135" t="s">
        <v>93</v>
      </c>
    </row>
    <row r="34" spans="2:3">
      <c r="C34" s="135" t="s">
        <v>94</v>
      </c>
    </row>
    <row r="35" spans="2:3">
      <c r="C35" s="135" t="s">
        <v>95</v>
      </c>
    </row>
    <row r="36" spans="2:3">
      <c r="B36" s="137"/>
      <c r="C36" s="137"/>
    </row>
    <row r="37" spans="2:3">
      <c r="B37" s="135" t="s">
        <v>180</v>
      </c>
      <c r="C37" s="135" t="s">
        <v>185</v>
      </c>
    </row>
    <row r="38" spans="2:3">
      <c r="C38" s="135" t="s">
        <v>144</v>
      </c>
    </row>
    <row r="39" spans="2:3">
      <c r="C39" s="135" t="s">
        <v>145</v>
      </c>
    </row>
    <row r="40" spans="2:3">
      <c r="B40" s="135" t="s">
        <v>181</v>
      </c>
      <c r="C40" s="135" t="s">
        <v>146</v>
      </c>
    </row>
    <row r="41" spans="2:3">
      <c r="C41" s="135" t="s">
        <v>147</v>
      </c>
    </row>
    <row r="42" spans="2:3">
      <c r="C42" s="135" t="s">
        <v>148</v>
      </c>
    </row>
    <row r="43" spans="2:3">
      <c r="C43" s="135" t="s">
        <v>149</v>
      </c>
    </row>
    <row r="44" spans="2:3">
      <c r="B44" s="135" t="s">
        <v>150</v>
      </c>
      <c r="C44" s="135" t="s">
        <v>151</v>
      </c>
    </row>
    <row r="45" spans="2:3">
      <c r="C45" s="135" t="s">
        <v>152</v>
      </c>
    </row>
    <row r="46" spans="2:3">
      <c r="C46" s="135" t="s">
        <v>153</v>
      </c>
    </row>
    <row r="47" spans="2:3">
      <c r="C47" s="135" t="s">
        <v>154</v>
      </c>
    </row>
    <row r="48" spans="2:3">
      <c r="C48" s="135" t="s">
        <v>197</v>
      </c>
    </row>
    <row r="49" spans="2:3">
      <c r="C49" s="135" t="s">
        <v>155</v>
      </c>
    </row>
    <row r="50" spans="2:3">
      <c r="C50" s="135" t="s">
        <v>156</v>
      </c>
    </row>
    <row r="51" spans="2:3">
      <c r="C51" s="135" t="s">
        <v>157</v>
      </c>
    </row>
    <row r="52" spans="2:3">
      <c r="C52" s="135" t="s">
        <v>158</v>
      </c>
    </row>
    <row r="53" spans="2:3">
      <c r="B53" s="135" t="s">
        <v>220</v>
      </c>
      <c r="C53" s="135" t="s">
        <v>159</v>
      </c>
    </row>
    <row r="54" spans="2:3">
      <c r="C54" s="135" t="s">
        <v>160</v>
      </c>
    </row>
    <row r="55" spans="2:3">
      <c r="C55" s="135" t="s">
        <v>161</v>
      </c>
    </row>
    <row r="56" spans="2:3">
      <c r="C56" s="135" t="s">
        <v>162</v>
      </c>
    </row>
    <row r="57" spans="2:3">
      <c r="C57" s="135" t="s">
        <v>163</v>
      </c>
    </row>
    <row r="58" spans="2:3">
      <c r="C58" s="135" t="s">
        <v>164</v>
      </c>
    </row>
    <row r="59" spans="2:3">
      <c r="C59" s="135" t="s">
        <v>165</v>
      </c>
    </row>
    <row r="60" spans="2:3">
      <c r="C60" s="135" t="s">
        <v>166</v>
      </c>
    </row>
    <row r="61" spans="2:3">
      <c r="C61" s="135" t="s">
        <v>167</v>
      </c>
    </row>
    <row r="62" spans="2:3">
      <c r="C62" s="135" t="s">
        <v>168</v>
      </c>
    </row>
    <row r="63" spans="2:3">
      <c r="C63" s="135" t="s">
        <v>169</v>
      </c>
    </row>
    <row r="64" spans="2:3">
      <c r="C64" s="135" t="s">
        <v>192</v>
      </c>
    </row>
    <row r="65" spans="2:3">
      <c r="C65" s="135" t="s">
        <v>170</v>
      </c>
    </row>
    <row r="66" spans="2:3">
      <c r="C66" s="135" t="s">
        <v>171</v>
      </c>
    </row>
    <row r="67" spans="2:3">
      <c r="B67" s="135" t="s">
        <v>221</v>
      </c>
      <c r="C67" s="135" t="s">
        <v>172</v>
      </c>
    </row>
    <row r="68" spans="2:3">
      <c r="B68" s="137"/>
      <c r="C68" s="137"/>
    </row>
    <row r="69" spans="2:3">
      <c r="B69" s="135" t="s">
        <v>182</v>
      </c>
      <c r="C69" s="135" t="s">
        <v>173</v>
      </c>
    </row>
    <row r="70" spans="2:3">
      <c r="C70" s="135" t="s">
        <v>174</v>
      </c>
    </row>
    <row r="71" spans="2:3">
      <c r="B71" s="135" t="s">
        <v>184</v>
      </c>
      <c r="C71" s="135" t="s">
        <v>183</v>
      </c>
    </row>
    <row r="72" spans="2:3">
      <c r="C72" s="135" t="s">
        <v>175</v>
      </c>
    </row>
    <row r="73" spans="2:3">
      <c r="C73" s="135" t="s">
        <v>176</v>
      </c>
    </row>
    <row r="74" spans="2:3">
      <c r="C74" s="135" t="s">
        <v>177</v>
      </c>
    </row>
    <row r="75" spans="2:3">
      <c r="C75" s="135" t="s">
        <v>178</v>
      </c>
    </row>
    <row r="76" spans="2:3">
      <c r="C76" s="135" t="s">
        <v>179</v>
      </c>
    </row>
    <row r="77" spans="2:3">
      <c r="B77" s="137"/>
      <c r="C77" s="137"/>
    </row>
    <row r="78" spans="2:3">
      <c r="B78" s="135" t="s">
        <v>180</v>
      </c>
      <c r="C78" s="138" t="s">
        <v>242</v>
      </c>
    </row>
    <row r="79" spans="2:3">
      <c r="B79" s="135" t="s">
        <v>243</v>
      </c>
      <c r="C79" s="138" t="s">
        <v>233</v>
      </c>
    </row>
    <row r="80" spans="2:3">
      <c r="C80" s="138" t="s">
        <v>234</v>
      </c>
    </row>
    <row r="81" spans="2:3">
      <c r="B81" s="135" t="s">
        <v>247</v>
      </c>
      <c r="C81" s="139" t="s">
        <v>235</v>
      </c>
    </row>
    <row r="82" spans="2:3">
      <c r="C82" s="140" t="s">
        <v>236</v>
      </c>
    </row>
    <row r="83" spans="2:3">
      <c r="B83" s="135" t="s">
        <v>249</v>
      </c>
      <c r="C83" s="140" t="s">
        <v>251</v>
      </c>
    </row>
    <row r="84" spans="2:3">
      <c r="C84" s="140" t="s">
        <v>237</v>
      </c>
    </row>
    <row r="85" spans="2:3">
      <c r="C85" s="140" t="s">
        <v>238</v>
      </c>
    </row>
    <row r="86" spans="2:3">
      <c r="C86" s="140" t="s">
        <v>253</v>
      </c>
    </row>
    <row r="87" spans="2:3">
      <c r="C87" s="140" t="s">
        <v>255</v>
      </c>
    </row>
    <row r="88" spans="2:3">
      <c r="C88" s="140" t="s">
        <v>257</v>
      </c>
    </row>
    <row r="89" spans="2:3">
      <c r="C89" s="140" t="s">
        <v>259</v>
      </c>
    </row>
    <row r="90" spans="2:3">
      <c r="C90" s="140" t="s">
        <v>261</v>
      </c>
    </row>
    <row r="91" spans="2:3">
      <c r="C91" s="140" t="s">
        <v>262</v>
      </c>
    </row>
    <row r="92" spans="2:3">
      <c r="C92" s="140" t="s">
        <v>239</v>
      </c>
    </row>
    <row r="93" spans="2:3">
      <c r="C93" s="140" t="s">
        <v>240</v>
      </c>
    </row>
    <row r="94" spans="2:3">
      <c r="C94" s="140" t="s">
        <v>241</v>
      </c>
    </row>
    <row r="95" spans="2:3">
      <c r="B95" s="137"/>
      <c r="C95" s="137"/>
    </row>
    <row r="96" spans="2:3">
      <c r="B96" s="135" t="s">
        <v>180</v>
      </c>
      <c r="C96" s="140" t="s">
        <v>64</v>
      </c>
    </row>
    <row r="97" spans="2:3">
      <c r="C97" s="138" t="s">
        <v>285</v>
      </c>
    </row>
    <row r="98" spans="2:3">
      <c r="C98" s="138" t="s">
        <v>286</v>
      </c>
    </row>
    <row r="99" spans="2:3">
      <c r="B99" s="135" t="s">
        <v>304</v>
      </c>
      <c r="C99" s="138" t="s">
        <v>287</v>
      </c>
    </row>
    <row r="100" spans="2:3">
      <c r="C100" s="138" t="s">
        <v>288</v>
      </c>
    </row>
    <row r="101" spans="2:3">
      <c r="C101" s="139" t="s">
        <v>289</v>
      </c>
    </row>
    <row r="102" spans="2:3">
      <c r="C102" s="140" t="s">
        <v>290</v>
      </c>
    </row>
    <row r="103" spans="2:3">
      <c r="B103" s="135" t="s">
        <v>305</v>
      </c>
      <c r="C103" s="140" t="s">
        <v>300</v>
      </c>
    </row>
    <row r="104" spans="2:3">
      <c r="C104" s="140" t="s">
        <v>291</v>
      </c>
    </row>
    <row r="105" spans="2:3">
      <c r="C105" s="140" t="s">
        <v>306</v>
      </c>
    </row>
    <row r="106" spans="2:3">
      <c r="C106" s="140" t="s">
        <v>307</v>
      </c>
    </row>
    <row r="107" spans="2:3">
      <c r="C107" s="135" t="s">
        <v>308</v>
      </c>
    </row>
    <row r="108" spans="2:3">
      <c r="C108" s="140" t="s">
        <v>292</v>
      </c>
    </row>
    <row r="109" spans="2:3">
      <c r="C109" s="140" t="s">
        <v>309</v>
      </c>
    </row>
    <row r="110" spans="2:3">
      <c r="C110" s="140" t="s">
        <v>310</v>
      </c>
    </row>
    <row r="111" spans="2:3">
      <c r="C111" s="140" t="s">
        <v>311</v>
      </c>
    </row>
    <row r="112" spans="2:3">
      <c r="C112" s="140" t="s">
        <v>293</v>
      </c>
    </row>
    <row r="113" spans="2:3">
      <c r="C113" s="140" t="s">
        <v>294</v>
      </c>
    </row>
    <row r="114" spans="2:3">
      <c r="C114" s="140" t="s">
        <v>295</v>
      </c>
    </row>
    <row r="115" spans="2:3">
      <c r="C115" s="140" t="s">
        <v>296</v>
      </c>
    </row>
    <row r="116" spans="2:3">
      <c r="C116" s="140" t="s">
        <v>297</v>
      </c>
    </row>
    <row r="117" spans="2:3">
      <c r="C117" s="140" t="s">
        <v>298</v>
      </c>
    </row>
    <row r="118" spans="2:3">
      <c r="C118" s="140" t="s">
        <v>299</v>
      </c>
    </row>
    <row r="119" spans="2:3">
      <c r="C119" s="140" t="s">
        <v>301</v>
      </c>
    </row>
    <row r="120" spans="2:3">
      <c r="C120" s="140" t="s">
        <v>302</v>
      </c>
    </row>
    <row r="121" spans="2:3">
      <c r="B121" s="140" t="s">
        <v>312</v>
      </c>
      <c r="C121" s="140" t="s">
        <v>303</v>
      </c>
    </row>
    <row r="122" spans="2:3">
      <c r="C122" s="140" t="s">
        <v>313</v>
      </c>
    </row>
    <row r="123" spans="2:3">
      <c r="B123" s="137"/>
      <c r="C123" s="137"/>
    </row>
    <row r="124" spans="2:3">
      <c r="B124" s="135" t="s">
        <v>180</v>
      </c>
      <c r="C124" s="135" t="s">
        <v>185</v>
      </c>
    </row>
    <row r="125" spans="2:3">
      <c r="C125" s="135" t="s">
        <v>341</v>
      </c>
    </row>
    <row r="126" spans="2:3">
      <c r="C126" s="134" t="s">
        <v>342</v>
      </c>
    </row>
    <row r="127" spans="2:3">
      <c r="C127" s="134" t="s">
        <v>343</v>
      </c>
    </row>
    <row r="128" spans="2:3">
      <c r="B128" s="135" t="s">
        <v>352</v>
      </c>
      <c r="C128" s="134" t="s">
        <v>344</v>
      </c>
    </row>
    <row r="129" spans="2:3">
      <c r="C129" s="134" t="s">
        <v>345</v>
      </c>
    </row>
    <row r="130" spans="2:3">
      <c r="C130" s="134" t="s">
        <v>346</v>
      </c>
    </row>
    <row r="131" spans="2:3">
      <c r="C131" s="134" t="s">
        <v>347</v>
      </c>
    </row>
    <row r="132" spans="2:3">
      <c r="C132" s="134" t="s">
        <v>348</v>
      </c>
    </row>
    <row r="133" spans="2:3">
      <c r="C133" s="134" t="s">
        <v>349</v>
      </c>
    </row>
    <row r="134" spans="2:3">
      <c r="C134" s="134" t="s">
        <v>350</v>
      </c>
    </row>
    <row r="135" spans="2:3">
      <c r="C135" s="134" t="s">
        <v>351</v>
      </c>
    </row>
    <row r="136" spans="2:3">
      <c r="B136" s="135" t="s">
        <v>354</v>
      </c>
      <c r="C136" s="134" t="s">
        <v>353</v>
      </c>
    </row>
  </sheetData>
  <phoneticPr fontId="3"/>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スケジュール（1日）</vt:lpstr>
      <vt:lpstr>特記イベント</vt:lpstr>
      <vt:lpstr>講義</vt:lpstr>
      <vt:lpstr>master</vt:lpstr>
      <vt:lpstr>'スケジュール（1日）'!Print_Area</vt:lpstr>
      <vt:lpstr>講義!Print_Area</vt:lpstr>
      <vt:lpstr>特記イベント!Print_Area</vt:lpstr>
    </vt:vector>
  </TitlesOfParts>
  <Company>株式会社NTTDATAユニバーシティ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正嗣</dc:creator>
  <cp:lastModifiedBy>直樹 石田</cp:lastModifiedBy>
  <cp:lastPrinted>2020-01-24T09:49:13Z</cp:lastPrinted>
  <dcterms:created xsi:type="dcterms:W3CDTF">2016-04-08T02:03:33Z</dcterms:created>
  <dcterms:modified xsi:type="dcterms:W3CDTF">2026-06-16T00:05:09Z</dcterms:modified>
</cp:coreProperties>
</file>
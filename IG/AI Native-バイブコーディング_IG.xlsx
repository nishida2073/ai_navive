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081703D8-1AC5-460E-B7C2-7D9A98F7524D}" xr6:coauthVersionLast="47" xr6:coauthVersionMax="47" xr10:uidLastSave="{00000000-0000-0000-0000-000000000000}"/>
  <bookViews>
    <workbookView xWindow="-108" yWindow="-108" windowWidth="23256" windowHeight="12456" tabRatio="860"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講義!$A$1:$L$171</definedName>
    <definedName name="_xlnm.Print_Area" localSheetId="1">特記イベント!$A$1:$L$14</definedName>
  </definedNames>
  <calcPr calcId="191029"/>
</workbook>
</file>

<file path=xl/calcChain.xml><?xml version="1.0" encoding="utf-8"?>
<calcChain xmlns="http://schemas.openxmlformats.org/spreadsheetml/2006/main">
  <c r="C170" i="31" l="1"/>
  <c r="I27" i="33"/>
  <c r="I26" i="33"/>
  <c r="G20" i="33"/>
  <c r="E18" i="33"/>
  <c r="I39" i="33"/>
  <c r="C41" i="33"/>
  <c r="G33" i="33"/>
  <c r="G27" i="33"/>
  <c r="G26" i="33"/>
  <c r="G19" i="33"/>
  <c r="G13" i="33"/>
  <c r="G12" i="33"/>
  <c r="G11" i="33"/>
  <c r="E14" i="33"/>
  <c r="E13" i="33"/>
  <c r="E12" i="33"/>
  <c r="E11" i="33"/>
  <c r="C39" i="33"/>
  <c r="C38" i="33"/>
  <c r="C32" i="33"/>
  <c r="C30" i="33"/>
  <c r="B63" i="31"/>
  <c r="C28" i="33"/>
  <c r="C26" i="33"/>
  <c r="C15" i="33"/>
  <c r="C13" i="33"/>
  <c r="C12" i="33"/>
  <c r="B23" i="31"/>
  <c r="C11" i="33"/>
  <c r="B169" i="31"/>
  <c r="C169" i="31"/>
  <c r="C168" i="31"/>
  <c r="C167" i="31"/>
  <c r="C166" i="31"/>
  <c r="C165" i="31"/>
  <c r="B165" i="31"/>
  <c r="C164" i="31"/>
  <c r="C154" i="31"/>
  <c r="C152" i="31"/>
  <c r="B163" i="31"/>
  <c r="B151" i="31"/>
  <c r="C163" i="31"/>
  <c r="C162" i="31"/>
  <c r="C160" i="31"/>
  <c r="C159" i="31"/>
  <c r="C157" i="31"/>
  <c r="C156" i="31"/>
  <c r="C151" i="31"/>
  <c r="C150" i="31"/>
  <c r="C149" i="31"/>
  <c r="C148" i="31"/>
  <c r="C147" i="31"/>
  <c r="B147" i="31"/>
  <c r="C118" i="31"/>
  <c r="B118" i="31"/>
  <c r="C146" i="31"/>
  <c r="B146" i="31"/>
  <c r="B144" i="31"/>
  <c r="B126" i="31"/>
  <c r="B122" i="31"/>
  <c r="B119"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B106" i="31"/>
  <c r="B104" i="31"/>
  <c r="C103" i="31"/>
  <c r="C102" i="31"/>
  <c r="B102" i="31"/>
  <c r="C101" i="31"/>
  <c r="B101" i="31"/>
  <c r="C100" i="31"/>
  <c r="B100" i="31"/>
  <c r="C98" i="31"/>
  <c r="C90" i="31"/>
  <c r="C67" i="31"/>
  <c r="C99" i="31"/>
  <c r="C97" i="31"/>
  <c r="C96" i="31"/>
  <c r="C95" i="31"/>
  <c r="B92" i="31"/>
  <c r="B72" i="31"/>
  <c r="B59" i="31"/>
  <c r="B94" i="31"/>
  <c r="C94" i="31"/>
  <c r="C93" i="31"/>
  <c r="C92" i="31"/>
  <c r="C89" i="31"/>
  <c r="C88" i="31"/>
  <c r="C87" i="31"/>
  <c r="C85" i="31"/>
  <c r="C84" i="31"/>
  <c r="C83" i="31"/>
  <c r="C82" i="31"/>
  <c r="C80" i="31"/>
  <c r="C78" i="31"/>
  <c r="C76" i="31"/>
  <c r="C74" i="31"/>
  <c r="C73" i="31"/>
  <c r="C72" i="31"/>
  <c r="C71" i="31"/>
  <c r="C70" i="31"/>
  <c r="C69" i="31"/>
  <c r="C68" i="31"/>
  <c r="C66" i="31"/>
  <c r="C65" i="31"/>
  <c r="C64" i="31"/>
  <c r="C63" i="31"/>
  <c r="C62" i="31"/>
  <c r="C61" i="31"/>
  <c r="C60" i="31"/>
  <c r="C59" i="31"/>
  <c r="C58" i="31"/>
  <c r="C57" i="31"/>
  <c r="C56" i="31"/>
  <c r="B56" i="31"/>
  <c r="C25" i="31"/>
  <c r="B29" i="31"/>
  <c r="B37"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2" i="31"/>
  <c r="B22" i="31"/>
  <c r="B2" i="33"/>
  <c r="C24" i="31"/>
  <c r="C26" i="31"/>
  <c r="C2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<sst xmlns="http://schemas.openxmlformats.org/spreadsheetml/2006/main" count="755" uniqueCount="434">
  <si>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</si>
  <si>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</si>
  <si>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</si>
  <si>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</si>
  <si>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</si>
  <si>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</si>
  <si>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</si>
  <si>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</si>
  <si>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</si>
  <si>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</si>
  <si>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</si>
  <si>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</si>
  <si>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</si>
  <si>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</si>
  <si>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</si>
  <si>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</si>
  <si>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</si>
  <si>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</si>
  <si>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</si>
  <si>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</si>
  <si>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</si>
  <si>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</si>
  <si>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</si>
  <si>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</si>
  <si>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</si>
  <si>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</si>
  <si>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</si>
  <si>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</si>
  <si>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</si>
  <si>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</si>
  <si>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</si>
  <si>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</si>
  <si>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</si>
  <si>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</si>
  <si>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</si>
  <si>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</si>
  <si>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</si>
  <si>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</si>
  <si>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</si>
  <si>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</si>
  <si>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</si>
  <si>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</si>
  <si>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</si>
  <si>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</si>
  <si>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</si>
  <si>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</si>
  <si>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</si>
  <si>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</si>
  <si>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</si>
  <si>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</si>
  <si>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</si>
  <si>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</si>
  <si>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</si>
  <si>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</si>
  <si>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</si>
  <si>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</si>
  <si>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</si>
  <si>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</si>
  <si>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</si>
  <si>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</si>
  <si>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</si>
  <si>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</si>
  <si>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</si>
  <si>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</si>
  <si>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</si>
  <si>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</si>
  <si>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</si>
  <si>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</si>
  <si>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</si>
  <si>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</si>
  <si>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</si>
  <si>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</si>
  <si>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</si>
  <si>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</si>
  <si>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</si>
  <si>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</si>
  <si>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</si>
  <si>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</si>
  <si>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</si>
  <si>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</si>
  <si>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</si>
  <si>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</si>
  <si>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</si>
  <si>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</si>
  <si>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</si>
  <si>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</si>
  <si>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</si>
  <si>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</si>
  <si>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</si>
  <si>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</si>
  <si>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</si>
  <si>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</si>
  <si>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</si>
  <si>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</si>
  <si>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</si>
  <si>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</si>
  <si>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</si>
  <si>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</si>
  <si>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</si>
  <si>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</si>
  <si>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</si>
  <si>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</si>
  <si>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</si>
  <si>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</si>
  <si>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</si>
  <si>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</si>
  <si>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</si>
  <si>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</si>
  <si>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</si>
  <si>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</si>
  <si>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</si>
  <si>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</si>
  <si>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</si>
  <si>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</si>
  <si>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</si>
  <si>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</si>
  <si>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</si>
  <si>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</si>
  <si>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</si>
  <si>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</si>
  <si>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</si>
  <si>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</si>
  <si>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</si>
  <si>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</si>
  <si>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</si>
  <si>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</si>
  <si>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</si>
  <si>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</si>
  <si>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</si>
  <si>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</si>
  <si>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</si>
  <si>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</si>
  <si>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</si>
  <si>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</si>
  <si>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</si>
  <si>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</si>
  <si>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</si>
  <si>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</si>
  <si>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</si>
  <si>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</si>
  <si>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</si>
  <si>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</si>
  <si>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</si>
  <si>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</si>
  <si>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</si>
  <si>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</si>
  <si>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</si>
  <si>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</si>
  <si>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</si>
  <si>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</si>
  <si>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</si>
  <si>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</si>
  <si>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</si>
  <si>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</si>
  <si>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</si>
  <si>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</si>
  <si>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</si>
  <si>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</si>
  <si>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</si>
  <si>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</si>
  <si>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</si>
  <si>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</si>
  <si>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</si>
  <si>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</si>
  <si>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</si>
  <si>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</si>
  <si>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</si>
  <si>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</si>
  <si>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</si>
  <si>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</si>
  <si>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</si>
  <si>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</si>
  <si>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</si>
  <si>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</si>
  <si>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</si>
  <si>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</si>
  <si>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</si>
  <si>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</si>
  <si>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</si>
  <si>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</si>
  <si>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</si>
  <si>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</si>
  <si>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</si>
  <si>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</si>
  <si>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</si>
  <si>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</si>
  <si>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</si>
  <si>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</si>
  <si>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</si>
  <si>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</si>
  <si>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</si>
  <si>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</si>
  <si>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</si>
  <si>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</si>
  <si>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</si>
  <si>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</si>
  <si>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</si>
  <si>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</si>
  <si>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</si>
  <si>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</si>
  <si>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</si>
  <si>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</si>
  <si>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</si>
  <si>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</si>
  <si>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</si>
  <si>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</si>
  <si>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</si>
  <si>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</si>
  <si>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</si>
  <si>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Gitとは、「ドキュメントやソースコードなどの変更履歴を管理するためのバージョン管理システム」のこと。
※変更履歴を時系列で管理し、過去の状態の確認や復元ができます。
■Gitのメリット
・変更履歴を残せる
・以前の状態に戻せる
・安心して変更や実験ができる</t>
    <phoneticPr fontId="3"/>
  </si>
  <si>
    <r>
      <t xml:space="preserve">ユーザ登録の手順を説明する。
1. VS Codeでプロジェクトを開く(File→Open Folderからプロジェクトのルートディレクトリを選択)
2. 上部のタブからTerminalを選択し、「New Terminal」をクリックする。
3. 開いたターミナルで以下2つのコマンドを打つ。
　1. git config --local user.name "任意の名前"
  2. git config --local user.email “自身のメールアドレス(@jp.nttdata.comのもの)"
</t>
    </r>
    <r>
      <rPr>
        <sz val="9"/>
        <color rgb="FFFF0000"/>
        <rFont val="Meiryo UI"/>
        <family val="3"/>
        <charset val="128"/>
      </rPr>
      <t>※ハンズオンとして実施する。
※まとめてコマンドを実行しないように注意する。</t>
    </r>
    <rPh sb="3" eb="5">
      <t>トウロク</t>
    </rPh>
    <rPh sb="6" eb="8">
      <t>テジュン</t>
    </rPh>
    <rPh sb="9" eb="11">
      <t>セツメイ</t>
    </rPh>
    <rPh sb="282" eb="284">
      <t>ジッコウ</t>
    </rPh>
    <rPh sb="290" eb="292">
      <t>チュウイ</t>
    </rPh>
    <phoneticPr fontId="3"/>
  </si>
  <si>
    <r>
      <t xml:space="preserve">ローカルリポジトリの作成手順を説明する。
</t>
    </r>
    <r>
      <rPr>
        <sz val="9"/>
        <color rgb="FFFF0000"/>
        <rFont val="Meiryo UI"/>
        <family val="3"/>
        <charset val="128"/>
      </rPr>
      <t>※ハンズオンとして実施する。</t>
    </r>
    <rPh sb="10" eb="12">
      <t>サクセイ</t>
    </rPh>
    <rPh sb="12" eb="14">
      <t>テジュン</t>
    </rPh>
    <rPh sb="15" eb="17">
      <t>セツメイ</t>
    </rPh>
    <phoneticPr fontId="3"/>
  </si>
  <si>
    <r>
      <t xml:space="preserve">最初のコミットの手順を説明する。
</t>
    </r>
    <r>
      <rPr>
        <sz val="9"/>
        <color rgb="FFFF0000"/>
        <rFont val="Meiryo UI"/>
        <family val="3"/>
        <charset val="128"/>
      </rPr>
      <t>※ハンズオンとして実施する。
※コメントは必須であることを強調する。</t>
    </r>
    <rPh sb="0" eb="2">
      <t>サイショ</t>
    </rPh>
    <rPh sb="8" eb="10">
      <t>テジュン</t>
    </rPh>
    <rPh sb="11" eb="13">
      <t>セツメイ</t>
    </rPh>
    <rPh sb="38" eb="40">
      <t>ヒッス</t>
    </rPh>
    <rPh sb="46" eb="48">
      <t>キョウチョウ</t>
    </rPh>
    <phoneticPr fontId="3"/>
  </si>
  <si>
    <r>
      <t xml:space="preserve">過去のコミットの確認方法を説明する。
</t>
    </r>
    <r>
      <rPr>
        <sz val="9"/>
        <color rgb="FFFF0000"/>
        <rFont val="Meiryo UI"/>
        <family val="3"/>
        <charset val="128"/>
      </rPr>
      <t>※ハンズオンとして実施する。</t>
    </r>
    <rPh sb="0" eb="2">
      <t>カコ</t>
    </rPh>
    <rPh sb="8" eb="10">
      <t>カクニン</t>
    </rPh>
    <rPh sb="10" eb="12">
      <t>ホウホウ</t>
    </rPh>
    <rPh sb="13" eb="15">
      <t>セツメイ</t>
    </rPh>
    <phoneticPr fontId="3"/>
  </si>
  <si>
    <t>個人がローカル環境（ローカルリポジトリのみの運用）でGitを使う方法を説明する。
1. ファイルを編集（作業ディレクトリ）
   ・sample.txt を編集
2. 変更内容をステージに追加
   ・git add sample.txt
   ※コミットしたい変更を選択する
3. ステージされた変更を履歴として保存
   ・git commit -m "初回作成"
   ※ローカルリポジトリに保存する
4. 履歴を確認
   ・git log
5. 必要に応じて以前の状態へ戻す
   ・git reset
   ・git revert</t>
    <rPh sb="32" eb="34">
      <t>ホウホウ</t>
    </rPh>
    <rPh sb="35" eb="37">
      <t>セツメイ</t>
    </rPh>
    <phoneticPr fontId="3"/>
  </si>
  <si>
    <r>
      <t xml:space="preserve">戻す方法を説明する。
revert：履歴を残して変更を取り消す
reset：履歴を巻き戻す
</t>
    </r>
    <r>
      <rPr>
        <sz val="9"/>
        <color rgb="FFFF0000"/>
        <rFont val="Meiryo UI"/>
        <family val="3"/>
        <charset val="128"/>
      </rPr>
      <t>※ハンズオンとして実施する。</t>
    </r>
    <r>
      <rPr>
        <sz val="9"/>
        <rFont val="Meiryo UI"/>
        <family val="3"/>
        <charset val="128"/>
      </rPr>
      <t xml:space="preserve">
</t>
    </r>
    <rPh sb="0" eb="1">
      <t>モド</t>
    </rPh>
    <rPh sb="2" eb="4">
      <t>ホウホウ</t>
    </rPh>
    <rPh sb="5" eb="7">
      <t>セツメイ</t>
    </rPh>
    <phoneticPr fontId="3"/>
  </si>
  <si>
    <t>ソフトウェア開発ライフサイクル</t>
    <phoneticPr fontId="21"/>
  </si>
  <si>
    <t>ソフトウェア開発ライフサイクルの種類</t>
    <phoneticPr fontId="21"/>
  </si>
  <si>
    <t>TERASOLUNA 開発手順</t>
    <phoneticPr fontId="21"/>
  </si>
  <si>
    <t>プロジェクトごとのテーラリング</t>
    <phoneticPr fontId="21"/>
  </si>
  <si>
    <t>V字モデル　– 要求定義 –</t>
    <phoneticPr fontId="21"/>
  </si>
  <si>
    <t>「要求」と「要件」の違い</t>
    <phoneticPr fontId="21"/>
  </si>
  <si>
    <t xml:space="preserve">V字モデル　– システムテスト – </t>
    <phoneticPr fontId="21"/>
  </si>
  <si>
    <t xml:space="preserve">V字モデル　– 受入テスト – </t>
    <phoneticPr fontId="21"/>
  </si>
  <si>
    <t>参考：TERASOLUNA開発手順　タスクフロー</t>
    <phoneticPr fontId="21"/>
  </si>
  <si>
    <t>講義の目的</t>
    <phoneticPr fontId="21"/>
  </si>
  <si>
    <t>システム開発におけるソフトウェア開発ライフサイクル</t>
    <phoneticPr fontId="3"/>
  </si>
  <si>
    <t>TERASOLUNA 開発手順</t>
  </si>
  <si>
    <t>プロジェクトごとのテーラリング</t>
  </si>
  <si>
    <t>V字モデル　– 要求定義 –</t>
  </si>
  <si>
    <t>TERASOLUNAとは</t>
    <phoneticPr fontId="3"/>
  </si>
  <si>
    <t>V字モデル</t>
  </si>
  <si>
    <t>V字モデルとは</t>
    <phoneticPr fontId="3"/>
  </si>
  <si>
    <t>「要求」と「要件」の違い</t>
  </si>
  <si>
    <t>V字モデル</t>
    <phoneticPr fontId="21"/>
  </si>
  <si>
    <t>V字モデル　– 要求分析 –</t>
  </si>
  <si>
    <t>V字モデル　– 要求分析 –</t>
    <phoneticPr fontId="21"/>
  </si>
  <si>
    <t>V字モデル　– アーキテクチャ設計 –</t>
  </si>
  <si>
    <t>V字モデル　– アーキテクチャ設計 –</t>
    <phoneticPr fontId="21"/>
  </si>
  <si>
    <t>V字モデル　– 詳細設計 –</t>
  </si>
  <si>
    <t>V字モデル　– 詳細設計 –</t>
    <phoneticPr fontId="21"/>
  </si>
  <si>
    <t>V字モデル　– 製造 –</t>
  </si>
  <si>
    <t>V字モデル　– 製造 –</t>
    <phoneticPr fontId="21"/>
  </si>
  <si>
    <t>V字モデル　– 単体テスト –</t>
  </si>
  <si>
    <t>V字モデル　– 単体テスト –</t>
    <phoneticPr fontId="21"/>
  </si>
  <si>
    <t>V字モデル　– 結合テスト –</t>
    <phoneticPr fontId="21"/>
  </si>
  <si>
    <t xml:space="preserve">V字モデル　– システムテスト – </t>
  </si>
  <si>
    <t xml:space="preserve">V字モデル　– 受入テスト – </t>
  </si>
  <si>
    <t>参考：TERASOLUNA開発手順　タスクフロー</t>
  </si>
  <si>
    <t xml:space="preserve">以下を学習することを説明する。
・システム開発プロセスを理解する
本研修では以下を中心に学習することを説明する。
・製造工程（前半「Webアプリケーション開発-Java&amp;Spring&amp;DB」）
・単体テスト工程（後半「単体テストとJUnit」）
</t>
    <rPh sb="0" eb="2">
      <t>イカ</t>
    </rPh>
    <rPh sb="3" eb="5">
      <t>ガクシュウ</t>
    </rPh>
    <rPh sb="10" eb="12">
      <t>セツメイ</t>
    </rPh>
    <rPh sb="34" eb="37">
      <t>ホンケンシュウ</t>
    </rPh>
    <rPh sb="39" eb="41">
      <t>イカ</t>
    </rPh>
    <rPh sb="42" eb="44">
      <t>チュウシン</t>
    </rPh>
    <rPh sb="45" eb="47">
      <t>ガクシュウ</t>
    </rPh>
    <rPh sb="52" eb="54">
      <t>セツメイ</t>
    </rPh>
    <phoneticPr fontId="3"/>
  </si>
  <si>
    <t>ソフトウェア開発ライフサイクル（SDLC）とは、「要件定義、設計、製造、テスト、リリースなど、ソフトウェア開発における各工程と、それらの実施順序や関係性を定義したもの」のこと。</t>
    <rPh sb="33" eb="35">
      <t>セイゾウ</t>
    </rPh>
    <phoneticPr fontId="3"/>
  </si>
  <si>
    <t xml:space="preserve">各ソフトウェア開発モデルの種類を説明する。
■ウォーターフォール開発
　ソフトウェア開発の工程を前から順番に進めていく直線的なモデル
　アジャイルソフトウェア開発：短いサイクルで設計・実装・テストを繰り返しながら、変化に柔軟に対応して進める反復型・適応型のモデル
　TERASOLUNA開発手順は、ウォーターフォール開発の一つである。
■スクラム開発
　アジャイルソフトウェア開発の代表的な手法の一つ。短い期間（スプリント）ごとに、設計・実装・テストを繰り返しながら機能を完成させていく開発手法。
重視する4つの価値
　・プロセスやツールよりも、個人と対話を重視する
　・包括的なドキュメントよりも、動くソフトウェアを重視する
　・契約交渉よりも、顧客との協調を重視する
　・計画に従うことよりも、変化への対応を重視する
スクラムアカウンタビリティ（役割）の種類
　・スクラムマスター：スクラムの進行を支援し、チームが円滑に活動できるようサポートする
　・プロダクトオーナー：開発する機能や優先順位を決定し、プロダクトの価値を最大化する
　・開発者：設計・実装・テストを行い、成果物を作成する
</t>
    <rPh sb="0" eb="1">
      <t>カク</t>
    </rPh>
    <rPh sb="7" eb="9">
      <t>カイハツ</t>
    </rPh>
    <rPh sb="13" eb="15">
      <t>シュルイ</t>
    </rPh>
    <rPh sb="16" eb="18">
      <t>セツメイ</t>
    </rPh>
    <rPh sb="157" eb="159">
      <t>カイハツ</t>
    </rPh>
    <rPh sb="160" eb="161">
      <t>ヒト</t>
    </rPh>
    <rPh sb="377" eb="379">
      <t>ヤクワリ</t>
    </rPh>
    <rPh sb="381" eb="383">
      <t>シュルイ</t>
    </rPh>
    <phoneticPr fontId="3"/>
  </si>
  <si>
    <t>TERASOLUNAとは、「NTTD社が提供するオープン系システム開発のための総合ソリューションの総称」のこと。
その一つである「TERASOLUNA開発標準」は、要求定義から受入テストまでを対象としたシステム開発手順を提供しており、品質を確保するためにV字モデルを採用している。
TERASOLUNAが提供する主な内容
・開発手順（プロセス）
　要求定義から受入テストまでの開発プロセスや成果物の作成方法を提供
・開発環境
　フレームワーク、ライブラリ、IDEなどの開発基盤を提供
・サポート
　技術情報、Q&amp;A、教育・研修などの支援を提供</t>
    <phoneticPr fontId="3"/>
  </si>
  <si>
    <t>「TERASOLUNA」により開発手順、開発環境、成果物などを標準化している。
しかし、すべてのプロジェクトに同じ手順やルールを適用すると、プロジェクトの特性によっては開発効率の低下や進行の妨げとなる場合がある。
↓
そのため、プロジェクトの規模や特性に応じて標準を調整する「テーラリング」が認められている。
※テーラリング：標準プロセスをそのまま適用するのではなく、プロジェクトの特性に合わせて最適化することである。
また、生成AIを活用した「AIネイティブ開発」では、従来の開発プロセスとは異なる考慮が必要となる。
そのため、TERASOLUNAで定められた開発手順や成果物についても、生成AIの特性を踏まえたテーラリングが求められる。</t>
    <phoneticPr fontId="3"/>
  </si>
  <si>
    <t>V字モデルとは、「開発工程とテスト工程の対応関係をV字型で表現した開発モデル」のこと。
TERASOLUNA開発手順では、要求定義から受入テストまでの8つのフェーズを対象にV字モデルを採用し、各設計工程の成果物を対応するテスト工程で検証することで品質を確保している。
※品質の作りこみVS製造・テスト
■メリット
・各フェーズが明確で、進捗管理がしやすい
・設計内容とテスト内容の対応関係が明確で、品質を確保しやすい
・フェーズごとに成果物を確認するため、問題を早期に発見しやすい
■デメリット
・各フェーズが順序立てて実施され、途中での開始/終了ができない
・前のフェーズの成果物をインプットにしているため、複数フェーズを同時進行できない</t>
    <rPh sb="136" eb="138">
      <t>ヒンシツ</t>
    </rPh>
    <rPh sb="139" eb="140">
      <t>ツク</t>
    </rPh>
    <rPh sb="145" eb="147">
      <t>セイゾウ</t>
    </rPh>
    <phoneticPr fontId="3"/>
  </si>
  <si>
    <t>要求定義フェーズについて説明する。
顧客の抱える問題・課題や目指す将来像を踏まえ、システム化の目的や解決方針を明確にするフェーズ。
顧客や利害関係者との対話を通じて要求を収集・整理し、システムに求められる機能や制約条件を要求仕様として文書化する。
実施順序
　情報収集　→　検討　→　提案</t>
    <rPh sb="12" eb="14">
      <t>セツメイ</t>
    </rPh>
    <rPh sb="125" eb="127">
      <t>ジッシ</t>
    </rPh>
    <rPh sb="127" eb="129">
      <t>ジュンジョ</t>
    </rPh>
    <rPh sb="131" eb="133">
      <t>ジョウホウ</t>
    </rPh>
    <rPh sb="133" eb="135">
      <t>シュウシュウ</t>
    </rPh>
    <rPh sb="138" eb="140">
      <t>ケントウ</t>
    </rPh>
    <rPh sb="143" eb="145">
      <t>テイアン</t>
    </rPh>
    <phoneticPr fontId="3"/>
  </si>
  <si>
    <t>要求と要件の違いを説明する。
・要求（Requirement）
　顧客やユーザーが実現したいこと、解決したい課題、期待する結果。
　「何を実現したいか」を表す。
・要件（System Requirement）
　要求を実現するために、システムが満たすべき具体的な条件や機能。
　「何を備える必要があるか」を表す。</t>
    <rPh sb="3" eb="5">
      <t>ヨウケン</t>
    </rPh>
    <rPh sb="6" eb="7">
      <t>チガ</t>
    </rPh>
    <rPh sb="9" eb="11">
      <t>セツメイ</t>
    </rPh>
    <phoneticPr fontId="3"/>
  </si>
  <si>
    <r>
      <t xml:space="preserve">要求分析フェーズについて説明する。
顧客と合意した要求を分析・整理し、システムとして実現すべき要件を明確化するフェーズ。
要求分析では、要求を機能要求と非機能要求に分類し、システムに必要な要件を定義する。
・機能要求
　システムがユーザーに対して提供する機能やサービスに関する要件。
　例：ユーザ登録機能、商品検索機能など
・非機能要求
　機能以外の品質や運用に関する要件。
　例：可用性、性能・拡張性、運用・保守性、セキュリティなど
業務フロー定義の概要を説明する。
</t>
    </r>
    <r>
      <rPr>
        <sz val="9"/>
        <color rgb="FFFF0000"/>
        <rFont val="Meiryo UI"/>
        <family val="3"/>
        <charset val="128"/>
      </rPr>
      <t xml:space="preserve">※タスクやアクティビティという言葉は触れない。
</t>
    </r>
    <r>
      <rPr>
        <sz val="9"/>
        <rFont val="Meiryo UI"/>
        <family val="3"/>
        <charset val="128"/>
      </rPr>
      <t xml:space="preserve">
成果物の概要を説明する。
・業務フロー図
・ユースケース定義書
・画面遷移図
・画面定義書
・外部IF定義書
・ER図
・エンティティ定義書</t>
    </r>
    <rPh sb="2" eb="4">
      <t>ブンセキ</t>
    </rPh>
    <rPh sb="12" eb="14">
      <t>セツメイ</t>
    </rPh>
    <rPh sb="149" eb="151">
      <t>トウロク</t>
    </rPh>
    <rPh sb="154" eb="156">
      <t>ショウヒン</t>
    </rPh>
    <rPh sb="156" eb="158">
      <t>ケンサク</t>
    </rPh>
    <rPh sb="221" eb="223">
      <t>ギョウム</t>
    </rPh>
    <rPh sb="226" eb="228">
      <t>テイギ</t>
    </rPh>
    <rPh sb="229" eb="231">
      <t>ガイヨウ</t>
    </rPh>
    <rPh sb="232" eb="234">
      <t>セツメイ</t>
    </rPh>
    <rPh sb="263" eb="266">
      <t>セイカブツ</t>
    </rPh>
    <rPh sb="267" eb="269">
      <t>ガイヨウ</t>
    </rPh>
    <rPh sb="270" eb="272">
      <t>セツメイ</t>
    </rPh>
    <rPh sb="282" eb="283">
      <t>ズ</t>
    </rPh>
    <rPh sb="291" eb="293">
      <t>テイギ</t>
    </rPh>
    <rPh sb="293" eb="294">
      <t>ショ</t>
    </rPh>
    <rPh sb="296" eb="298">
      <t>ガメン</t>
    </rPh>
    <rPh sb="298" eb="301">
      <t>センイズ</t>
    </rPh>
    <rPh sb="303" eb="305">
      <t>ガメン</t>
    </rPh>
    <rPh sb="310" eb="312">
      <t>ガイブ</t>
    </rPh>
    <rPh sb="314" eb="316">
      <t>テイギ</t>
    </rPh>
    <rPh sb="316" eb="317">
      <t>ショ</t>
    </rPh>
    <rPh sb="321" eb="322">
      <t>ズ</t>
    </rPh>
    <phoneticPr fontId="3"/>
  </si>
  <si>
    <t>アーキテクチャ設計フェーズについて説明する。
要求分析フェーズで定義した要件を実現するための実現方法（入出力、処理、データ構造など）を決めるフェーズ。
要求定義の成果物（定義書）→アーキテクチャ設計→XXX設計書
成果物の概要を説明する。
・オンライン処理設計書
・画面設計書
・画面定義書
・外部IF設計書
・テーブル設計書</t>
    <rPh sb="7" eb="9">
      <t>セッケイ</t>
    </rPh>
    <rPh sb="17" eb="19">
      <t>セツメイ</t>
    </rPh>
    <rPh sb="76" eb="80">
      <t>ヨウキュウテイギ</t>
    </rPh>
    <rPh sb="81" eb="84">
      <t>セイカブツ</t>
    </rPh>
    <rPh sb="85" eb="87">
      <t>テイギ</t>
    </rPh>
    <rPh sb="87" eb="88">
      <t>ショ</t>
    </rPh>
    <rPh sb="97" eb="99">
      <t>セッケイ</t>
    </rPh>
    <rPh sb="103" eb="106">
      <t>セッケイショ</t>
    </rPh>
    <rPh sb="108" eb="111">
      <t>セイカブツ</t>
    </rPh>
    <rPh sb="112" eb="114">
      <t>ガイヨウ</t>
    </rPh>
    <rPh sb="115" eb="117">
      <t>セツメイ</t>
    </rPh>
    <rPh sb="134" eb="136">
      <t>ガメン</t>
    </rPh>
    <rPh sb="136" eb="139">
      <t>セッケイショ</t>
    </rPh>
    <rPh sb="141" eb="143">
      <t>ガメン</t>
    </rPh>
    <rPh sb="148" eb="150">
      <t>ガイブ</t>
    </rPh>
    <rPh sb="152" eb="155">
      <t>セッケイショ</t>
    </rPh>
    <rPh sb="161" eb="164">
      <t>セッケイショ</t>
    </rPh>
    <phoneticPr fontId="3"/>
  </si>
  <si>
    <t>詳細設計フェーズについて説明する。
アーキテクチャ設計を元に、そのまま開発できるレベルまで詳細化するフェーズ。
※独自に設計書を書き起こす必要がないと判断され、省略されることが多い
成果物の概要を説明する。
・ユニット設計書</t>
    <rPh sb="0" eb="2">
      <t>ショウサイ</t>
    </rPh>
    <rPh sb="2" eb="4">
      <t>セッケイ</t>
    </rPh>
    <rPh sb="12" eb="14">
      <t>セツメイ</t>
    </rPh>
    <rPh sb="92" eb="95">
      <t>セイカブツ</t>
    </rPh>
    <rPh sb="96" eb="98">
      <t>ガイヨウ</t>
    </rPh>
    <rPh sb="99" eb="101">
      <t>セツメイ</t>
    </rPh>
    <rPh sb="110" eb="113">
      <t>セッケイショ</t>
    </rPh>
    <phoneticPr fontId="3"/>
  </si>
  <si>
    <t>製造フェーズについて説明する。
詳細設計通りに動作するプログラムコードを作成するフェーズ。
成果物の概要を説明する。
・プログラムコード</t>
    <rPh sb="0" eb="2">
      <t>セイゾウ</t>
    </rPh>
    <rPh sb="10" eb="12">
      <t>セツメイ</t>
    </rPh>
    <rPh sb="47" eb="50">
      <t>セイカブツ</t>
    </rPh>
    <rPh sb="51" eb="53">
      <t>ガイヨウ</t>
    </rPh>
    <rPh sb="54" eb="56">
      <t>セツメイ</t>
    </rPh>
    <phoneticPr fontId="3"/>
  </si>
  <si>
    <t>単体テストフェーズについて説明する。
アプリケーションが詳細設計通りに動作するかを確認するフェーズ。
成果物の概要を説明する。
・ユニット計画書
・ユニットテストケース表
・ユニットテストコード
・ユニットテスト手順書</t>
    <rPh sb="0" eb="2">
      <t>タンタイ</t>
    </rPh>
    <rPh sb="13" eb="15">
      <t>セツメイ</t>
    </rPh>
    <rPh sb="46" eb="49">
      <t>セイカブツ</t>
    </rPh>
    <rPh sb="50" eb="52">
      <t>ガイヨウ</t>
    </rPh>
    <rPh sb="53" eb="55">
      <t>セツメイ</t>
    </rPh>
    <rPh sb="70" eb="73">
      <t>ケイカクショ</t>
    </rPh>
    <rPh sb="85" eb="86">
      <t>ヒョウ</t>
    </rPh>
    <rPh sb="107" eb="110">
      <t>テジュンショ</t>
    </rPh>
    <phoneticPr fontId="3"/>
  </si>
  <si>
    <t>V字モデル　– 結合テスト –</t>
    <phoneticPr fontId="3"/>
  </si>
  <si>
    <t>結合テストフェーズについて説明する。
アプリケーションが要件/設計通りに動作するかを確認するフェーズ。
テストの種類が分かれていることを説明する。
・処理テスト：処理設計の妥当性を検証する。
・ユースケーステスト：ユースケース定義の妥当性を検証する。
・業務テスト：業務定義の妥当性を検証する。
※システムの詳細な部分からテストを実施し、テスト対象範囲を少しずつ広くしていく</t>
    <rPh sb="0" eb="2">
      <t>ケツゴウ</t>
    </rPh>
    <rPh sb="13" eb="15">
      <t>セツメイ</t>
    </rPh>
    <rPh sb="47" eb="50">
      <t>セイカブツ</t>
    </rPh>
    <rPh sb="51" eb="53">
      <t>ガイヨウ</t>
    </rPh>
    <rPh sb="57" eb="59">
      <t>シュルイ</t>
    </rPh>
    <rPh sb="60" eb="61">
      <t>ワ</t>
    </rPh>
    <rPh sb="82" eb="84">
      <t>ショリ</t>
    </rPh>
    <rPh sb="84" eb="86">
      <t>セッケイ</t>
    </rPh>
    <rPh sb="87" eb="90">
      <t>ダトウセイ</t>
    </rPh>
    <rPh sb="91" eb="93">
      <t>ケンショウ</t>
    </rPh>
    <rPh sb="114" eb="116">
      <t>テイギ</t>
    </rPh>
    <rPh sb="128" eb="130">
      <t>ギョウム</t>
    </rPh>
    <rPh sb="134" eb="136">
      <t>ギョウム</t>
    </rPh>
    <rPh sb="136" eb="138">
      <t>テイギ</t>
    </rPh>
    <phoneticPr fontId="3"/>
  </si>
  <si>
    <t xml:space="preserve">システムテストフェーズについて説明する。
システム基盤とアプリケーションを結合したシステム全体に対して、機能要求と非機能要求を満たすかどうかを確認するフェーズ。
機能要求を満たしているかを確認するテストのほかに、性能テスト、負荷テスト、ユーザビリティテストなどの非機能要求に対するテストを実施する。
</t>
    <rPh sb="15" eb="17">
      <t>セツメイ</t>
    </rPh>
    <phoneticPr fontId="3"/>
  </si>
  <si>
    <t>受入テストフェーズについて説明する。
システム移行準備とシステムテストが完了したシステムに対して、顧客と最終確認を行い、本番移行を実施するフェーズ。
主要な作業を説明する。
・移行計画と設計
・移行支援ツール等の開発
・移行テストの計画、設計、実施
・受入テストの計画、設計、実施
・移行リハーサル実施
・移行実施</t>
    <rPh sb="0" eb="2">
      <t>ウケイレ</t>
    </rPh>
    <rPh sb="13" eb="15">
      <t>セツメイ</t>
    </rPh>
    <rPh sb="76" eb="78">
      <t>シュヨウ</t>
    </rPh>
    <rPh sb="79" eb="81">
      <t>サギョウ</t>
    </rPh>
    <rPh sb="82" eb="84">
      <t>セツメイ</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</si>
  <si>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</si>
  <si>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</si>
  <si>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</si>
  <si>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</si>
  <si>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</si>
  <si>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</si>
  <si>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</si>
  <si>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</si>
  <si>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</si>
  <si>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</si>
  <si>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</si>
  <si>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</si>
  <si>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</si>
  <si>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</si>
  <si>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</si>
  <si>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</si>
  <si>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</si>
  <si>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</si>
  <si>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</si>
  <si>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</si>
  <si>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</si>
  <si>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</si>
  <si>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</si>
  <si>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</si>
  <si>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</si>
  <si>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</si>
  <si>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</si>
  <si>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</si>
  <si>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</si>
  <si>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</si>
  <si>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</si>
  <si>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</si>
  <si>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</si>
  <si>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</si>
  <si>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</si>
  <si>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</si>
  <si>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</si>
  <si>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</si>
  <si>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</si>
  <si>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</si>
  <si>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</si>
  <si>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</si>
  <si>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</si>
  <si>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</si>
  <si>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</si>
  <si>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</si>
  <si>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</si>
  <si>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</si>
  <si>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</si>
  <si>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</si>
  <si>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</si>
  <si>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</si>
  <si>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</si>
  <si>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</si>
  <si>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</si>
  <si>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</si>
  <si>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</si>
  <si>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</si>
  <si>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</si>
  <si>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</si>
  <si>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</si>
  <si>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</si>
  <si>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</si>
  <si>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</si>
  <si>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</si>
  <si>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</si>
  <si>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</si>
  <si>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</si>
  <si>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</si>
  <si>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</si>
  <si>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</si>
  <si>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</si>
  <si>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</si>
  <si>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</si>
  <si>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</si>
  <si>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</si>
  <si>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</si>
  <si>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</si>
  <si>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</si>
  <si>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</si>
  <si>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</si>
  <si>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</si>
  <si>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</si>
  <si>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</si>
  <si>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</si>
  <si>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</si>
  <si>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</si>
  <si>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</si>
  <si>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講師配布のテストプログラム</t>
    <phoneticPr fontId="3"/>
  </si>
  <si>
    <t>【AI Native研修-バイブコーディング】演習追加課題.pptx</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</si>
  <si>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</si>
  <si>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</si>
  <si>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</si>
  <si>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</si>
  <si>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</si>
  <si>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</si>
  <si>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</si>
  <si>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</si>
  <si>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</si>
  <si>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</si>
  <si>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</si>
  <si>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</si>
  <si>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</si>
  <si>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</si>
  <si>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</si>
  <si>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</si>
  <si>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</si>
  <si>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</si>
  <si>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</si>
  <si>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</si>
  <si>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</si>
  <si>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</si>
  <si>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</si>
  <si>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</si>
  <si>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</si>
  <si>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</si>
  <si>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</si>
  <si>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</si>
  <si>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</si>
  <si>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</si>
  <si>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</si>
  <si>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</si>
  <si>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</si>
  <si>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</si>
  <si>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</si>
  <si>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</si>
  <si>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</si>
  <si>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</si>
  <si>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</si>
  <si>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</si>
  <si>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</si>
  <si>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</si>
  <si>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</si>
  <si>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</si>
  <si>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</si>
  <si>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</si>
  <si>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</si>
  <si>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</si>
  <si>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</si>
  <si>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</si>
  <si>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</si>
  <si>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</si>
  <si>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</si>
  <si>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システム開発プロセスの導入</t>
    <rPh sb="4" eb="6">
      <t>カイハツ</t>
    </rPh>
    <rPh sb="11" eb="13">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</si>
  <si>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</si>
  <si>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</si>
  <si>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</si>
  <si>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</si>
  <si>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</si>
  <si>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</si>
  <si>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AWS講義（詳細は別紙に記載）</t>
    <rPh sb="3" eb="5">
      <t>コウギ</t>
    </rPh>
    <rPh sb="9" eb="11">
      <t>ベッシ</t>
    </rPh>
    <rPh sb="12" eb="14">
      <t>キサイ</t>
    </rPh>
    <phoneticPr fontId="3"/>
  </si>
  <si>
    <t>AI-06</t>
    <phoneticPr fontId="3"/>
  </si>
  <si>
    <r>
      <t xml:space="preserve">2回目以降のコミットの手順を説明する。
</t>
    </r>
    <r>
      <rPr>
        <sz val="9"/>
        <color rgb="FFFF0000"/>
        <rFont val="Meiryo UI"/>
        <family val="3"/>
        <charset val="128"/>
      </rPr>
      <t>※ハンズオンとして実施する。
※コメントは必須であることを強調する。</t>
    </r>
    <rPh sb="1" eb="3">
      <t>カイメ</t>
    </rPh>
    <rPh sb="3" eb="5">
      <t>イコウ</t>
    </rPh>
    <rPh sb="11" eb="13">
      <t>テジュン</t>
    </rPh>
    <rPh sb="14" eb="16">
      <t>セツメイ</t>
    </rPh>
    <rPh sb="41" eb="43">
      <t>ヒッス</t>
    </rPh>
    <rPh sb="49" eb="51">
      <t>キョウチョウ</t>
    </rPh>
    <phoneticPr fontId="3"/>
  </si>
  <si>
    <t xml:space="preserve">・AI-07
</t>
    <phoneticPr fontId="3"/>
  </si>
  <si>
    <t xml:space="preserve">・AI-07
</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</si>
  <si>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</si>
  <si>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</si>
  <si>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</si>
  <si>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</si>
  <si>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</si>
  <si>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</si>
  <si>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・AI-10
・AI-11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</si>
  <si>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</si>
  <si>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 xml:space="preserve">・AI-10
・AI-11
</t>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</si>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</sst>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5" fillId="0" borderId="1" xfId="0" applyNumberFormat="1" applyFont="1" applyBorder="1" applyAlignment="1">
      <alignment vertical="top"/>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4" borderId="1" xfId="0" applyFont="1" applyFill="1" applyBorder="1" applyAlignment="1">
      <alignment horizontal="center" vertical="center" textRotation="255" wrapText="1"/>
    </xf>
    <xf numFmtId="0" fontId="5" fillId="9" borderId="1" xfId="0" applyFont="1" applyFill="1" applyBorder="1" applyAlignment="1">
      <alignment horizontal="center"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1" t="str">
        <f>"コースプラン/インストラクションガイド 「"&amp;master!$B$1&amp;"_IG」"</f>
        <v>コースプラン/インストラクションガイド 「AI Native-バイブコーディング_IG」</v>
      </c>
      <c r="C2" s="91"/>
      <c r="D2" s="91"/>
      <c r="E2" s="91"/>
      <c r="F2" s="91"/>
      <c r="G2" s="91"/>
      <c r="H2" s="91"/>
      <c r="I2" s="91"/>
    </row>
    <row r="3" spans="1:10" ht="27.6" thickBot="1">
      <c r="A3" s="13"/>
      <c r="B3" s="14"/>
      <c r="C3" s="13"/>
      <c r="D3" s="13"/>
      <c r="E3" s="13"/>
      <c r="F3" s="13"/>
      <c r="G3" s="13"/>
      <c r="H3" s="13"/>
      <c r="I3" s="13"/>
    </row>
    <row r="4" spans="1:10" ht="27.6" thickBot="1">
      <c r="A4" s="13"/>
      <c r="B4" s="92" t="s">
        <v>11</v>
      </c>
      <c r="C4" s="93"/>
      <c r="D4" s="13"/>
      <c r="E4" s="13"/>
      <c r="F4" s="13"/>
      <c r="G4" s="13"/>
      <c r="H4" s="13"/>
      <c r="I4" s="13"/>
    </row>
    <row r="5" spans="1:10" ht="27.6" thickBot="1">
      <c r="A5" s="13"/>
      <c r="B5" s="94"/>
      <c r="C5" s="95"/>
      <c r="D5" s="13"/>
      <c r="E5" s="13"/>
      <c r="F5" s="13"/>
      <c r="G5" s="13"/>
      <c r="H5" s="13"/>
      <c r="I5" s="13"/>
    </row>
    <row r="7" spans="1:10" ht="16.2">
      <c r="B7" s="96" t="s">
        <v>2</v>
      </c>
      <c r="C7" s="96"/>
    </row>
    <row r="8" spans="1:10">
      <c r="E8" s="15"/>
      <c r="G8" s="15"/>
      <c r="I8" s="15"/>
    </row>
    <row r="9" spans="1:10">
      <c r="B9" s="21"/>
      <c r="C9" s="21" t="s">
        <v>0</v>
      </c>
      <c r="D9" s="21"/>
      <c r="E9" s="21" t="s">
        <v>399</v>
      </c>
      <c r="F9" s="21"/>
      <c r="G9" s="21" t="s">
        <v>400</v>
      </c>
      <c r="H9" s="21"/>
      <c r="I9" s="21" t="s">
        <v>401</v>
      </c>
    </row>
    <row r="10" spans="1:10" ht="14.25" customHeight="1">
      <c r="A10" s="34">
        <v>0.39583333333333331</v>
      </c>
      <c r="B10" s="16">
        <v>0.39583333333333331</v>
      </c>
      <c r="C10" s="69" t="s">
        <v>3</v>
      </c>
      <c r="D10" s="34">
        <v>0.39583333333333331</v>
      </c>
      <c r="E10" s="69" t="s">
        <v>3</v>
      </c>
      <c r="F10" s="34">
        <v>0.39583333333333331</v>
      </c>
      <c r="G10" s="69" t="s">
        <v>3</v>
      </c>
      <c r="H10" s="34">
        <v>0.39583333333333331</v>
      </c>
      <c r="I10" s="69" t="s">
        <v>3</v>
      </c>
    </row>
    <row r="11" spans="1:10">
      <c r="A11" s="36"/>
      <c r="B11" s="56">
        <v>0.40625</v>
      </c>
      <c r="C11" s="66" t="str">
        <f>master!B3</f>
        <v>バイブコーディングの導入</v>
      </c>
      <c r="D11" s="56">
        <v>0.40625</v>
      </c>
      <c r="E11" s="66" t="str">
        <f>master!B78</f>
        <v>システム開発プロセスの導入</v>
      </c>
      <c r="F11" s="56">
        <v>0.40625</v>
      </c>
      <c r="G11" s="66" t="str">
        <f>master!B96</f>
        <v>単体テストとJunitの導入</v>
      </c>
      <c r="H11" s="56">
        <v>0.40625</v>
      </c>
      <c r="I11" s="66" t="s">
        <v>416</v>
      </c>
    </row>
    <row r="12" spans="1:10">
      <c r="A12" s="34">
        <v>0.41666666666666669</v>
      </c>
      <c r="B12" s="64"/>
      <c r="C12" s="65" t="str">
        <f>master!B4</f>
        <v>Webアプリケーションとは</v>
      </c>
      <c r="D12" s="64"/>
      <c r="E12" s="66" t="str">
        <f>master!B79</f>
        <v>システム開発におけるソフトウェア開発ライフサイクル</v>
      </c>
      <c r="F12" s="63"/>
      <c r="G12" s="66" t="str">
        <f>master!B99</f>
        <v>テストとは</v>
      </c>
      <c r="H12" s="63"/>
      <c r="I12" s="67"/>
    </row>
    <row r="13" spans="1:10">
      <c r="A13" s="35"/>
      <c r="B13" s="56">
        <v>0.42708333333333331</v>
      </c>
      <c r="C13" s="66" t="str">
        <f>master!B9</f>
        <v>データベースとは</v>
      </c>
      <c r="D13" s="84">
        <v>0.42708333333333331</v>
      </c>
      <c r="E13" s="66" t="str">
        <f>master!B81</f>
        <v>TERASOLUNAとは</v>
      </c>
      <c r="F13" s="56">
        <v>0.42708333333333331</v>
      </c>
      <c r="G13" s="66" t="str">
        <f>master!B103</f>
        <v>単体テストとは</v>
      </c>
      <c r="H13" s="63"/>
      <c r="I13" s="67"/>
      <c r="J13" s="6"/>
    </row>
    <row r="14" spans="1:10">
      <c r="A14" s="35"/>
      <c r="B14" s="64"/>
      <c r="C14" s="68"/>
      <c r="D14" s="63">
        <v>0.43402777777777779</v>
      </c>
      <c r="E14" s="66" t="str">
        <f>master!B83</f>
        <v>V字モデルとは</v>
      </c>
      <c r="F14" s="63"/>
      <c r="G14" s="67"/>
      <c r="H14" s="63"/>
      <c r="I14" s="67"/>
      <c r="J14" s="6"/>
    </row>
    <row r="15" spans="1:10">
      <c r="A15" s="36"/>
      <c r="B15" s="56">
        <v>0.44791666666666669</v>
      </c>
      <c r="C15" s="66" t="str">
        <f>master!B17</f>
        <v>Java言語、Springフレームワークとは</v>
      </c>
      <c r="D15" s="63"/>
      <c r="E15" s="67"/>
      <c r="F15" s="63"/>
      <c r="G15" s="67"/>
      <c r="H15" s="63"/>
      <c r="I15" s="67"/>
      <c r="J15" s="6"/>
    </row>
    <row r="16" spans="1:10">
      <c r="A16" s="34">
        <v>0.45833333333333331</v>
      </c>
      <c r="B16" s="63"/>
      <c r="C16" s="67"/>
      <c r="D16" s="63"/>
      <c r="E16" s="67"/>
      <c r="F16" s="63"/>
      <c r="G16" s="67"/>
      <c r="H16" s="63"/>
      <c r="I16" s="67"/>
      <c r="J16" s="6"/>
    </row>
    <row r="17" spans="1:10">
      <c r="A17" s="35"/>
      <c r="B17" s="63"/>
      <c r="C17" s="67"/>
      <c r="D17" s="64"/>
      <c r="E17" s="68"/>
      <c r="F17" s="63"/>
      <c r="G17" s="67"/>
      <c r="H17" s="63"/>
      <c r="I17" s="67"/>
      <c r="J17" s="6"/>
    </row>
    <row r="18" spans="1:10">
      <c r="A18" s="35"/>
      <c r="B18" s="63"/>
      <c r="C18" s="67"/>
      <c r="D18" s="56">
        <v>0.47916666666666669</v>
      </c>
      <c r="E18" s="55" t="str">
        <f>master!B67</f>
        <v>課題1の実施</v>
      </c>
      <c r="F18" s="64"/>
      <c r="G18" s="68"/>
      <c r="H18" s="63"/>
      <c r="I18" s="67"/>
      <c r="J18" s="6"/>
    </row>
    <row r="19" spans="1:10">
      <c r="A19" s="36"/>
      <c r="B19" s="64"/>
      <c r="C19" s="68"/>
      <c r="D19" s="63"/>
      <c r="E19" s="51"/>
      <c r="F19" s="56">
        <v>0.48958333333333331</v>
      </c>
      <c r="G19" s="66" t="str">
        <f>master!B121</f>
        <v>JUnit</v>
      </c>
      <c r="H19" s="63"/>
      <c r="I19" s="67"/>
      <c r="J19" s="6"/>
    </row>
    <row r="20" spans="1:10">
      <c r="A20" s="54">
        <v>0.5</v>
      </c>
      <c r="B20" s="54">
        <v>0.5</v>
      </c>
      <c r="C20" s="37" t="s">
        <v>53</v>
      </c>
      <c r="D20" s="63"/>
      <c r="E20" s="51"/>
      <c r="F20" s="54">
        <v>0.5</v>
      </c>
      <c r="G20" s="55" t="str">
        <f>master!B67</f>
        <v>課題1の実施</v>
      </c>
      <c r="H20" s="63"/>
      <c r="I20" s="67"/>
      <c r="J20" s="6"/>
    </row>
    <row r="21" spans="1:10">
      <c r="A21" s="49"/>
      <c r="B21" s="50"/>
      <c r="C21" s="38"/>
      <c r="D21" s="64"/>
      <c r="E21" s="52"/>
      <c r="F21" s="36"/>
      <c r="G21" s="52"/>
      <c r="H21" s="64"/>
      <c r="I21" s="68"/>
      <c r="J21" s="6"/>
    </row>
    <row r="22" spans="1:10">
      <c r="A22" s="35"/>
      <c r="B22" s="35">
        <v>0.52083333333333337</v>
      </c>
      <c r="C22" s="70" t="s">
        <v>1</v>
      </c>
      <c r="D22" s="35">
        <v>0.52083333333333337</v>
      </c>
      <c r="E22" s="70" t="s">
        <v>1</v>
      </c>
      <c r="F22" s="35">
        <v>0.52083333333333337</v>
      </c>
      <c r="G22" s="71" t="s">
        <v>1</v>
      </c>
      <c r="H22" s="35">
        <v>0.52083333333333337</v>
      </c>
      <c r="I22" s="71" t="s">
        <v>1</v>
      </c>
      <c r="J22" s="6"/>
    </row>
    <row r="23" spans="1:10">
      <c r="A23" s="36"/>
      <c r="B23" s="35" t="s">
        <v>29</v>
      </c>
      <c r="C23" s="71"/>
      <c r="D23" s="35" t="s">
        <v>29</v>
      </c>
      <c r="E23" s="71"/>
      <c r="F23" s="35" t="s">
        <v>29</v>
      </c>
      <c r="G23" s="71"/>
      <c r="H23" s="35" t="s">
        <v>29</v>
      </c>
      <c r="I23" s="71"/>
      <c r="J23" s="6"/>
    </row>
    <row r="24" spans="1:10">
      <c r="A24" s="34">
        <v>0.54166666666666663</v>
      </c>
      <c r="B24" s="35" t="s">
        <v>29</v>
      </c>
      <c r="C24" s="71"/>
      <c r="D24" s="35" t="s">
        <v>29</v>
      </c>
      <c r="E24" s="71"/>
      <c r="F24" s="35" t="s">
        <v>29</v>
      </c>
      <c r="G24" s="71"/>
      <c r="H24" s="35" t="s">
        <v>29</v>
      </c>
      <c r="I24" s="71"/>
      <c r="J24" s="6"/>
    </row>
    <row r="25" spans="1:10">
      <c r="A25" s="35"/>
      <c r="B25" s="36" t="s">
        <v>29</v>
      </c>
      <c r="C25" s="72"/>
      <c r="D25" s="36" t="s">
        <v>29</v>
      </c>
      <c r="E25" s="72"/>
      <c r="F25" s="36" t="s">
        <v>29</v>
      </c>
      <c r="G25" s="72"/>
      <c r="H25" s="36" t="s">
        <v>29</v>
      </c>
      <c r="I25" s="72"/>
      <c r="J25" s="6"/>
    </row>
    <row r="26" spans="1:10">
      <c r="A26" s="35"/>
      <c r="B26" s="37">
        <v>0.5625</v>
      </c>
      <c r="C26" s="55" t="str">
        <f>master!B37</f>
        <v>課題1の導入</v>
      </c>
      <c r="D26" s="37">
        <v>0.5625</v>
      </c>
      <c r="E26" s="55"/>
      <c r="F26" s="85">
        <v>0.5625</v>
      </c>
      <c r="G26" s="86" t="str">
        <f>master!B124</f>
        <v>課題2の導入</v>
      </c>
      <c r="H26" s="37">
        <v>0.5625</v>
      </c>
      <c r="I26" s="55" t="str">
        <f>master!B67</f>
        <v>課題1の実施</v>
      </c>
      <c r="J26" s="6"/>
    </row>
    <row r="27" spans="1:10">
      <c r="A27" s="36"/>
      <c r="B27" s="38"/>
      <c r="C27" s="52"/>
      <c r="D27" s="39"/>
      <c r="E27" s="51"/>
      <c r="F27" s="39">
        <v>0.57291666666666663</v>
      </c>
      <c r="G27" s="55" t="str">
        <f>master!B128</f>
        <v>ハンズオン</v>
      </c>
      <c r="H27" s="39"/>
      <c r="I27" s="51" t="str">
        <f>master!B136</f>
        <v>課題2の実施</v>
      </c>
      <c r="J27" s="6"/>
    </row>
    <row r="28" spans="1:10">
      <c r="A28" s="34">
        <v>0.58333333333333337</v>
      </c>
      <c r="B28" s="37">
        <v>0.58333333333333337</v>
      </c>
      <c r="C28" s="55" t="str">
        <f>master!B40</f>
        <v>Spring Bootプロジェクトの_x000B_準備、起動確認</v>
      </c>
      <c r="D28" s="39"/>
      <c r="E28" s="51"/>
      <c r="F28" s="39"/>
      <c r="G28" s="51"/>
      <c r="H28" s="39"/>
      <c r="I28" s="51"/>
      <c r="J28" s="6"/>
    </row>
    <row r="29" spans="1:10">
      <c r="A29" s="35"/>
      <c r="B29" s="38"/>
      <c r="C29" s="52"/>
      <c r="D29" s="39"/>
      <c r="E29" s="51"/>
      <c r="F29" s="39"/>
      <c r="G29" s="51"/>
      <c r="H29" s="39"/>
      <c r="I29" s="51"/>
      <c r="J29" s="6"/>
    </row>
    <row r="30" spans="1:10">
      <c r="A30" s="35"/>
      <c r="B30" s="39">
        <v>0.60416666666666663</v>
      </c>
      <c r="C30" s="51" t="str">
        <f>master!B44</f>
        <v>ECサイト Webアプリの要件</v>
      </c>
      <c r="D30" s="39"/>
      <c r="E30" s="51"/>
      <c r="F30" s="39"/>
      <c r="G30" s="51"/>
      <c r="H30" s="39"/>
      <c r="I30" s="51"/>
      <c r="J30" s="6"/>
    </row>
    <row r="31" spans="1:10">
      <c r="A31" s="36"/>
      <c r="B31" s="39"/>
      <c r="C31" s="52"/>
      <c r="D31" s="39"/>
      <c r="E31" s="51"/>
      <c r="F31" s="39"/>
      <c r="G31" s="51"/>
      <c r="H31" s="39"/>
      <c r="I31" s="51"/>
      <c r="J31" s="6"/>
    </row>
    <row r="32" spans="1:10">
      <c r="A32" s="54">
        <v>0.625</v>
      </c>
      <c r="B32" s="54">
        <v>0.625</v>
      </c>
      <c r="C32" s="55" t="str">
        <f>master!B53</f>
        <v>ハンズオン</v>
      </c>
      <c r="D32" s="39"/>
      <c r="E32" s="51"/>
      <c r="F32" s="39"/>
      <c r="G32" s="52"/>
      <c r="H32" s="39"/>
      <c r="I32" s="51"/>
      <c r="J32" s="6"/>
    </row>
    <row r="33" spans="1:10">
      <c r="A33" s="49"/>
      <c r="B33" s="39"/>
      <c r="C33" s="51"/>
      <c r="D33" s="39"/>
      <c r="E33" s="51"/>
      <c r="F33" s="54">
        <v>0.63541666666666663</v>
      </c>
      <c r="G33" s="51" t="str">
        <f>master!B136</f>
        <v>課題2の実施</v>
      </c>
      <c r="H33" s="39"/>
      <c r="I33" s="51"/>
      <c r="J33" s="6"/>
    </row>
    <row r="34" spans="1:10">
      <c r="A34" s="49"/>
      <c r="B34" s="39"/>
      <c r="C34" s="51"/>
      <c r="D34" s="39"/>
      <c r="E34" s="51"/>
      <c r="F34" s="39"/>
      <c r="G34" s="51"/>
      <c r="H34" s="39"/>
      <c r="I34" s="51"/>
      <c r="J34" s="6"/>
    </row>
    <row r="35" spans="1:10">
      <c r="A35" s="36"/>
      <c r="B35" s="39"/>
      <c r="C35" s="51"/>
      <c r="D35" s="39"/>
      <c r="E35" s="51"/>
      <c r="F35" s="39"/>
      <c r="G35" s="51"/>
      <c r="H35" s="39"/>
      <c r="I35" s="51"/>
      <c r="J35" s="6"/>
    </row>
    <row r="36" spans="1:10">
      <c r="A36" s="34">
        <v>0.66666666666666663</v>
      </c>
      <c r="B36" s="39"/>
      <c r="C36" s="51"/>
      <c r="D36" s="39"/>
      <c r="E36" s="51"/>
      <c r="F36" s="39"/>
      <c r="G36" s="51"/>
      <c r="H36" s="39"/>
      <c r="I36" s="51"/>
      <c r="J36" s="6"/>
    </row>
    <row r="37" spans="1:10">
      <c r="A37" s="35"/>
      <c r="B37" s="39"/>
      <c r="C37" s="52"/>
      <c r="D37" s="39"/>
      <c r="E37" s="51"/>
      <c r="F37" s="39"/>
      <c r="G37" s="51"/>
      <c r="H37" s="39"/>
      <c r="I37" s="51"/>
      <c r="J37" s="6"/>
    </row>
    <row r="38" spans="1:10">
      <c r="A38" s="35"/>
      <c r="B38" s="84">
        <v>0.6875</v>
      </c>
      <c r="C38" s="65" t="str">
        <f>master!B69</f>
        <v>Gitとは</v>
      </c>
      <c r="D38" s="39"/>
      <c r="E38" s="51"/>
      <c r="F38" s="39"/>
      <c r="G38" s="51"/>
      <c r="H38" s="38"/>
      <c r="I38" s="52"/>
      <c r="J38" s="6"/>
    </row>
    <row r="39" spans="1:10">
      <c r="A39" s="35"/>
      <c r="B39" s="63">
        <v>0.69791666666666663</v>
      </c>
      <c r="C39" s="67" t="str">
        <f>master!B71</f>
        <v>VS Code上でGitを使う手順</v>
      </c>
      <c r="D39" s="39"/>
      <c r="E39" s="51"/>
      <c r="F39" s="39"/>
      <c r="G39" s="51"/>
      <c r="H39" s="56">
        <v>0.69791666666666663</v>
      </c>
      <c r="I39" s="51" t="str">
        <f>master!B144</f>
        <v>課題の振り返り</v>
      </c>
      <c r="J39" s="6"/>
    </row>
    <row r="40" spans="1:10">
      <c r="A40" s="37">
        <v>0.70833333333333337</v>
      </c>
      <c r="B40" s="63"/>
      <c r="C40" s="68"/>
      <c r="D40" s="39"/>
      <c r="E40" s="51"/>
      <c r="F40" s="39"/>
      <c r="G40" s="51"/>
      <c r="H40" s="63"/>
      <c r="I40" s="51"/>
      <c r="J40" s="6"/>
    </row>
    <row r="41" spans="1:10">
      <c r="A41" s="35"/>
      <c r="B41" s="37">
        <v>0.71875</v>
      </c>
      <c r="C41" s="55" t="str">
        <f>master!B67</f>
        <v>課題1の実施</v>
      </c>
      <c r="D41" s="39"/>
      <c r="E41" s="51"/>
      <c r="F41" s="39"/>
      <c r="G41" s="51"/>
      <c r="H41" s="39"/>
      <c r="I41" s="51"/>
      <c r="J41" s="6"/>
    </row>
    <row r="42" spans="1:10">
      <c r="A42" s="39"/>
      <c r="B42" s="64"/>
      <c r="C42" s="52"/>
      <c r="D42" s="39"/>
      <c r="E42" s="52"/>
      <c r="F42" s="39"/>
      <c r="G42" s="52"/>
      <c r="H42" s="39"/>
      <c r="I42" s="52"/>
      <c r="J42" s="6"/>
    </row>
    <row r="43" spans="1:10" ht="14.25" customHeight="1">
      <c r="A43" s="38"/>
      <c r="B43" s="74">
        <v>0.73958333333333337</v>
      </c>
      <c r="C43" s="73" t="s">
        <v>53</v>
      </c>
      <c r="D43" s="74">
        <v>0.73958333333333337</v>
      </c>
      <c r="E43" s="73" t="s">
        <v>53</v>
      </c>
      <c r="F43" s="74">
        <v>0.73958333333333337</v>
      </c>
      <c r="G43" s="73" t="s">
        <v>53</v>
      </c>
      <c r="H43" s="74">
        <v>0.73958333333333337</v>
      </c>
      <c r="I43" s="73" t="s">
        <v>53</v>
      </c>
    </row>
    <row r="44" spans="1:10" ht="15.6" thickBot="1">
      <c r="A44" s="6"/>
      <c r="D44" s="20"/>
      <c r="F44" s="20"/>
      <c r="H44" s="20"/>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0" t="s">
        <v>4</v>
      </c>
      <c r="C4" s="100"/>
      <c r="D4" s="8"/>
      <c r="E4" s="8"/>
      <c r="F4" s="8"/>
      <c r="G4" s="7"/>
      <c r="H4" s="23"/>
      <c r="I4" s="18"/>
      <c r="J4" s="18"/>
      <c r="K4" s="9"/>
    </row>
    <row r="5" spans="1:12" ht="36" customHeight="1">
      <c r="B5" s="101"/>
      <c r="C5" s="101"/>
      <c r="D5" s="101"/>
      <c r="E5" s="101"/>
      <c r="F5" s="101"/>
      <c r="G5" s="101"/>
      <c r="H5" s="101"/>
      <c r="I5" s="101"/>
      <c r="J5" s="101"/>
      <c r="K5" s="101"/>
    </row>
    <row r="6" spans="1:12">
      <c r="B6" s="10"/>
      <c r="C6" s="10"/>
      <c r="G6" s="10"/>
      <c r="K6" s="10"/>
    </row>
    <row r="7" spans="1:12">
      <c r="B7" s="30" t="s">
        <v>14</v>
      </c>
      <c r="C7" s="30" t="s">
        <v>15</v>
      </c>
      <c r="D7" s="102" t="s">
        <v>20</v>
      </c>
      <c r="E7" s="102"/>
      <c r="F7" s="30" t="s">
        <v>10</v>
      </c>
      <c r="G7" s="30" t="s">
        <v>16</v>
      </c>
      <c r="K7" s="6"/>
      <c r="L7" s="6"/>
    </row>
    <row r="8" spans="1:12">
      <c r="B8" s="31" t="s">
        <v>17</v>
      </c>
      <c r="C8" s="32" t="s">
        <v>33</v>
      </c>
      <c r="D8" s="42" t="s">
        <v>19</v>
      </c>
      <c r="E8" s="41"/>
      <c r="F8" s="33" t="s">
        <v>22</v>
      </c>
      <c r="G8" s="33" t="s">
        <v>18</v>
      </c>
      <c r="K8" s="6"/>
      <c r="L8" s="6"/>
    </row>
    <row r="10" spans="1:12">
      <c r="A10" s="10"/>
      <c r="B10" s="98"/>
      <c r="C10" s="98" t="s">
        <v>7</v>
      </c>
      <c r="D10" s="98" t="s">
        <v>8</v>
      </c>
      <c r="E10" s="98"/>
      <c r="F10" s="98"/>
      <c r="G10" s="98" t="s">
        <v>9</v>
      </c>
      <c r="H10" s="103" t="s">
        <v>23</v>
      </c>
      <c r="I10" s="97" t="s">
        <v>31</v>
      </c>
      <c r="J10" s="97"/>
      <c r="K10" s="97" t="s">
        <v>30</v>
      </c>
      <c r="L10" s="10"/>
    </row>
    <row r="11" spans="1:12">
      <c r="A11" s="10"/>
      <c r="B11" s="98"/>
      <c r="C11" s="98"/>
      <c r="D11" s="98"/>
      <c r="E11" s="98"/>
      <c r="F11" s="98"/>
      <c r="G11" s="98"/>
      <c r="H11" s="104"/>
      <c r="I11" s="25" t="s">
        <v>25</v>
      </c>
      <c r="J11" s="25" t="s">
        <v>6</v>
      </c>
      <c r="K11" s="98"/>
      <c r="L11" s="10"/>
    </row>
    <row r="12" spans="1:12" ht="63">
      <c r="A12" s="10"/>
      <c r="B12" s="19"/>
      <c r="C12" s="19" t="s">
        <v>414</v>
      </c>
      <c r="D12" s="99" t="s">
        <v>51</v>
      </c>
      <c r="E12" s="99"/>
      <c r="F12" s="99"/>
      <c r="G12" s="88" t="s">
        <v>52</v>
      </c>
      <c r="H12" s="19"/>
      <c r="I12" s="47" t="s">
        <v>24</v>
      </c>
      <c r="J12" s="53">
        <v>1.0416666666666666E-2</v>
      </c>
      <c r="K12" s="19"/>
      <c r="L12" s="10"/>
    </row>
    <row r="13" spans="1:12" ht="25.2">
      <c r="A13" s="10"/>
      <c r="B13" s="19"/>
      <c r="C13" s="19" t="s">
        <v>415</v>
      </c>
      <c r="D13" s="99" t="s">
        <v>412</v>
      </c>
      <c r="E13" s="99"/>
      <c r="F13" s="99"/>
      <c r="G13" s="88" t="s">
        <v>413</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0" t="s">
        <v>4</v>
      </c>
      <c r="C4" s="100"/>
      <c r="D4" s="100"/>
      <c r="E4" s="100"/>
      <c r="F4" s="8"/>
      <c r="G4" s="8"/>
      <c r="H4" s="7"/>
      <c r="I4" s="18"/>
      <c r="J4" s="18"/>
      <c r="K4" s="18"/>
      <c r="L4" s="9"/>
      <c r="M4" s="9"/>
    </row>
    <row r="5" spans="2:14" ht="36" customHeight="1">
      <c r="B5" s="119"/>
      <c r="C5" s="119"/>
      <c r="D5" s="119"/>
      <c r="E5" s="119"/>
      <c r="F5" s="119"/>
      <c r="G5" s="119"/>
      <c r="H5" s="119"/>
      <c r="I5" s="119"/>
      <c r="J5" s="119"/>
      <c r="K5" s="119"/>
      <c r="L5" s="26"/>
      <c r="M5" s="27"/>
    </row>
    <row r="6" spans="2:14">
      <c r="B6" s="10"/>
      <c r="C6" s="10"/>
      <c r="D6" s="10"/>
      <c r="E6" s="10"/>
      <c r="H6" s="10"/>
      <c r="L6" s="10"/>
      <c r="M6" s="10"/>
    </row>
    <row r="7" spans="2:14">
      <c r="B7" s="30" t="s">
        <v>14</v>
      </c>
      <c r="C7" s="30" t="s">
        <v>15</v>
      </c>
      <c r="D7" s="102" t="s">
        <v>20</v>
      </c>
      <c r="E7" s="102"/>
      <c r="F7" s="30" t="s">
        <v>10</v>
      </c>
      <c r="G7" s="30" t="s">
        <v>16</v>
      </c>
      <c r="I7" s="45"/>
      <c r="J7" s="6"/>
      <c r="K7" s="6"/>
      <c r="L7" s="6"/>
      <c r="M7" s="6"/>
      <c r="N7" s="6"/>
    </row>
    <row r="8" spans="2:14">
      <c r="B8" s="31" t="s">
        <v>39</v>
      </c>
      <c r="C8" s="57" t="s">
        <v>34</v>
      </c>
      <c r="D8" s="42" t="s">
        <v>19</v>
      </c>
      <c r="E8" s="41"/>
      <c r="F8" s="33" t="s">
        <v>21</v>
      </c>
      <c r="G8" s="33" t="s">
        <v>18</v>
      </c>
      <c r="K8" s="6"/>
      <c r="L8" s="6"/>
      <c r="M8" s="6"/>
      <c r="N8" s="6"/>
    </row>
    <row r="9" spans="2:14">
      <c r="B9" s="31" t="s">
        <v>40</v>
      </c>
      <c r="C9" s="57" t="s">
        <v>36</v>
      </c>
      <c r="D9" s="42" t="s">
        <v>19</v>
      </c>
      <c r="E9" s="41"/>
      <c r="F9" s="33" t="s">
        <v>21</v>
      </c>
      <c r="G9" s="33" t="s">
        <v>18</v>
      </c>
      <c r="K9" s="6"/>
      <c r="L9" s="6"/>
      <c r="M9" s="6"/>
      <c r="N9" s="6"/>
    </row>
    <row r="10" spans="2:14">
      <c r="B10" s="31" t="s">
        <v>91</v>
      </c>
      <c r="C10" s="33" t="s">
        <v>35</v>
      </c>
      <c r="D10" s="42" t="s">
        <v>19</v>
      </c>
      <c r="E10" s="41"/>
      <c r="F10" s="33" t="s">
        <v>21</v>
      </c>
      <c r="G10" s="33" t="s">
        <v>18</v>
      </c>
      <c r="K10" s="6"/>
      <c r="L10" s="6"/>
      <c r="M10" s="6"/>
      <c r="N10" s="6"/>
    </row>
    <row r="11" spans="2:14">
      <c r="B11" s="31" t="s">
        <v>92</v>
      </c>
      <c r="C11" s="57" t="s">
        <v>89</v>
      </c>
      <c r="D11" s="42" t="s">
        <v>19</v>
      </c>
      <c r="E11" s="41"/>
      <c r="F11" s="33" t="s">
        <v>21</v>
      </c>
      <c r="G11" s="33" t="s">
        <v>18</v>
      </c>
      <c r="K11" s="6"/>
      <c r="L11" s="6"/>
      <c r="M11" s="6"/>
      <c r="N11" s="6"/>
    </row>
    <row r="12" spans="2:14">
      <c r="B12" s="31" t="s">
        <v>93</v>
      </c>
      <c r="C12" s="33" t="s">
        <v>90</v>
      </c>
      <c r="D12" s="42" t="s">
        <v>19</v>
      </c>
      <c r="E12" s="41"/>
      <c r="F12" s="33" t="s">
        <v>21</v>
      </c>
      <c r="G12" s="33" t="s">
        <v>18</v>
      </c>
      <c r="K12" s="6"/>
      <c r="L12" s="6"/>
      <c r="M12" s="6"/>
      <c r="N12" s="6"/>
    </row>
    <row r="13" spans="2:14">
      <c r="B13" s="31" t="s">
        <v>417</v>
      </c>
      <c r="C13" s="57" t="s">
        <v>37</v>
      </c>
      <c r="D13" s="42" t="s">
        <v>19</v>
      </c>
      <c r="E13" s="41"/>
      <c r="F13" s="33" t="s">
        <v>21</v>
      </c>
      <c r="G13" s="33" t="s">
        <v>18</v>
      </c>
      <c r="K13" s="6"/>
      <c r="L13" s="6"/>
      <c r="M13" s="6"/>
      <c r="N13" s="6"/>
    </row>
    <row r="14" spans="2:14">
      <c r="B14" s="31" t="s">
        <v>94</v>
      </c>
      <c r="C14" s="57" t="s">
        <v>38</v>
      </c>
      <c r="D14" s="42" t="s">
        <v>19</v>
      </c>
      <c r="E14" s="41"/>
      <c r="F14" s="33" t="s">
        <v>21</v>
      </c>
      <c r="G14" s="33" t="s">
        <v>18</v>
      </c>
      <c r="K14" s="6"/>
      <c r="L14" s="6"/>
      <c r="M14" s="6"/>
      <c r="N14" s="6"/>
    </row>
    <row r="15" spans="2:14">
      <c r="B15" s="31" t="s">
        <v>95</v>
      </c>
      <c r="C15" s="57" t="s">
        <v>355</v>
      </c>
      <c r="D15" s="42" t="s">
        <v>19</v>
      </c>
      <c r="E15" s="41"/>
      <c r="F15" s="33" t="s">
        <v>21</v>
      </c>
      <c r="G15" s="33" t="s">
        <v>18</v>
      </c>
      <c r="K15" s="6"/>
      <c r="L15" s="6"/>
      <c r="M15" s="6"/>
      <c r="N15" s="6"/>
    </row>
    <row r="16" spans="2:14">
      <c r="B16" s="31" t="s">
        <v>351</v>
      </c>
      <c r="C16" s="1" t="s">
        <v>354</v>
      </c>
      <c r="D16" s="42" t="s">
        <v>19</v>
      </c>
      <c r="E16" s="41"/>
      <c r="F16" s="33" t="s">
        <v>21</v>
      </c>
      <c r="G16" s="33" t="s">
        <v>18</v>
      </c>
      <c r="K16" s="6"/>
      <c r="L16" s="6"/>
      <c r="M16" s="6"/>
      <c r="N16" s="6"/>
    </row>
    <row r="17" spans="1:14">
      <c r="B17" s="31" t="s">
        <v>356</v>
      </c>
      <c r="C17" s="57" t="s">
        <v>352</v>
      </c>
      <c r="D17" s="42" t="s">
        <v>19</v>
      </c>
      <c r="E17" s="41"/>
      <c r="F17" s="33" t="s">
        <v>21</v>
      </c>
      <c r="G17" s="33" t="s">
        <v>18</v>
      </c>
      <c r="K17" s="6"/>
      <c r="L17" s="6"/>
      <c r="M17" s="6"/>
      <c r="N17" s="6"/>
    </row>
    <row r="18" spans="1:14">
      <c r="B18" s="31" t="s">
        <v>357</v>
      </c>
      <c r="C18" s="57" t="s">
        <v>353</v>
      </c>
      <c r="D18" s="42" t="s">
        <v>19</v>
      </c>
      <c r="E18" s="41"/>
      <c r="F18" s="33" t="s">
        <v>21</v>
      </c>
      <c r="G18" s="33" t="s">
        <v>18</v>
      </c>
      <c r="K18" s="6"/>
      <c r="L18" s="6"/>
      <c r="M18" s="6"/>
      <c r="N18" s="6"/>
    </row>
    <row r="20" spans="1:14" ht="24" customHeight="1">
      <c r="A20" s="10"/>
      <c r="B20" s="98" t="s">
        <v>5</v>
      </c>
      <c r="C20" s="98" t="s">
        <v>7</v>
      </c>
      <c r="D20" s="98" t="s">
        <v>8</v>
      </c>
      <c r="E20" s="98"/>
      <c r="F20" s="98"/>
      <c r="G20" s="98" t="s">
        <v>9</v>
      </c>
      <c r="H20" s="97" t="s">
        <v>23</v>
      </c>
      <c r="I20" s="117" t="s">
        <v>31</v>
      </c>
      <c r="J20" s="118"/>
      <c r="K20" s="97" t="s">
        <v>32</v>
      </c>
      <c r="L20" s="6"/>
      <c r="M20" s="6"/>
      <c r="N20" s="6"/>
    </row>
    <row r="21" spans="1:14">
      <c r="A21" s="10"/>
      <c r="B21" s="98"/>
      <c r="C21" s="98"/>
      <c r="D21" s="98"/>
      <c r="E21" s="98"/>
      <c r="F21" s="98"/>
      <c r="G21" s="98"/>
      <c r="H21" s="97"/>
      <c r="I21" s="25" t="s">
        <v>25</v>
      </c>
      <c r="J21" s="25" t="s">
        <v>6</v>
      </c>
      <c r="K21" s="98"/>
      <c r="L21" s="6"/>
      <c r="M21" s="6"/>
      <c r="N21" s="6"/>
    </row>
    <row r="22" spans="1:14" ht="151.19999999999999">
      <c r="A22" s="10"/>
      <c r="B22" s="75" t="str">
        <f>master!B3</f>
        <v>バイブコーディングの導入</v>
      </c>
      <c r="C22" s="48" t="str">
        <f>master!C3</f>
        <v>講義の目的</v>
      </c>
      <c r="D22" s="114" t="s">
        <v>96</v>
      </c>
      <c r="E22" s="115"/>
      <c r="F22" s="116"/>
      <c r="G22" s="48" t="s">
        <v>97</v>
      </c>
      <c r="H22" s="12"/>
      <c r="I22" s="46" t="s">
        <v>24</v>
      </c>
      <c r="J22" s="44">
        <v>2.0833333333333333E-3</v>
      </c>
      <c r="K22" s="40"/>
      <c r="L22" s="6"/>
      <c r="M22" s="6"/>
      <c r="N22" s="6"/>
    </row>
    <row r="23" spans="1:14" ht="138.6" customHeight="1">
      <c r="A23" s="10"/>
      <c r="B23" s="120" t="str">
        <f>master!B4</f>
        <v>Webアプリケーションとは</v>
      </c>
      <c r="C23" s="48" t="str">
        <f>master!C4</f>
        <v>Webアプリケーションとは</v>
      </c>
      <c r="D23" s="114" t="s">
        <v>98</v>
      </c>
      <c r="E23" s="115"/>
      <c r="F23" s="116"/>
      <c r="G23" s="48" t="s">
        <v>41</v>
      </c>
      <c r="H23" s="12"/>
      <c r="I23" s="46" t="s">
        <v>24</v>
      </c>
      <c r="J23" s="44">
        <v>3.472222222222222E-3</v>
      </c>
      <c r="K23" s="40"/>
      <c r="L23" s="6"/>
      <c r="M23" s="6"/>
      <c r="N23" s="6"/>
    </row>
    <row r="24" spans="1:14" ht="75.599999999999994">
      <c r="A24" s="11"/>
      <c r="B24" s="121"/>
      <c r="C24" s="48" t="str">
        <f>master!C5</f>
        <v>Webアプリケーションの種類</v>
      </c>
      <c r="D24" s="114" t="s">
        <v>99</v>
      </c>
      <c r="E24" s="115"/>
      <c r="F24" s="116"/>
      <c r="G24" s="48" t="s">
        <v>45</v>
      </c>
      <c r="H24" s="12"/>
      <c r="I24" s="46" t="s">
        <v>24</v>
      </c>
      <c r="J24" s="44">
        <v>3.472222222222222E-3</v>
      </c>
      <c r="K24" s="40"/>
      <c r="L24" s="6"/>
      <c r="M24" s="6"/>
      <c r="N24" s="6"/>
    </row>
    <row r="25" spans="1:14" ht="37.799999999999997">
      <c r="A25" s="11"/>
      <c r="B25" s="121"/>
      <c r="C25" s="48" t="str">
        <f>master!C6</f>
        <v>アプリケーションとは</v>
      </c>
      <c r="D25" s="114" t="s">
        <v>100</v>
      </c>
      <c r="E25" s="115"/>
      <c r="F25" s="116"/>
      <c r="G25" s="48" t="s">
        <v>43</v>
      </c>
      <c r="H25" s="12"/>
      <c r="I25" s="46" t="s">
        <v>24</v>
      </c>
      <c r="J25" s="44">
        <v>2.0833333333333333E-3</v>
      </c>
      <c r="K25" s="40"/>
      <c r="L25" s="6"/>
      <c r="M25" s="6"/>
      <c r="N25" s="6"/>
    </row>
    <row r="26" spans="1:14" ht="63">
      <c r="A26" s="11"/>
      <c r="B26" s="121"/>
      <c r="C26" s="48" t="str">
        <f>master!C7</f>
        <v>Web画面アプリケーション</v>
      </c>
      <c r="D26" s="114" t="s">
        <v>101</v>
      </c>
      <c r="E26" s="115"/>
      <c r="F26" s="116"/>
      <c r="G26" s="48" t="s">
        <v>42</v>
      </c>
      <c r="H26" s="12"/>
      <c r="I26" s="46" t="s">
        <v>24</v>
      </c>
      <c r="J26" s="44">
        <v>2.0833333333333333E-3</v>
      </c>
      <c r="K26" s="40"/>
      <c r="L26" s="6"/>
      <c r="M26" s="6"/>
      <c r="N26" s="6"/>
    </row>
    <row r="27" spans="1:14" ht="63">
      <c r="A27" s="11"/>
      <c r="B27" s="121"/>
      <c r="C27" s="48"/>
      <c r="D27" s="114" t="s">
        <v>102</v>
      </c>
      <c r="E27" s="115"/>
      <c r="F27" s="116"/>
      <c r="G27" s="48" t="s">
        <v>42</v>
      </c>
      <c r="H27" s="12"/>
      <c r="I27" s="46" t="s">
        <v>24</v>
      </c>
      <c r="J27" s="44">
        <v>6.9444444444444447E-4</v>
      </c>
      <c r="K27" s="40"/>
      <c r="L27" s="6"/>
      <c r="M27" s="6"/>
      <c r="N27" s="6"/>
    </row>
    <row r="28" spans="1:14" ht="113.4">
      <c r="A28" s="11"/>
      <c r="B28" s="122"/>
      <c r="C28" s="48" t="str">
        <f>master!C8</f>
        <v>ブラウザからのリクエスト種類</v>
      </c>
      <c r="D28" s="114" t="s">
        <v>103</v>
      </c>
      <c r="E28" s="115"/>
      <c r="F28" s="116"/>
      <c r="G28" s="48" t="s">
        <v>46</v>
      </c>
      <c r="H28" s="12"/>
      <c r="I28" s="46" t="s">
        <v>24</v>
      </c>
      <c r="J28" s="44">
        <v>2.0833333333333333E-3</v>
      </c>
      <c r="K28" s="40"/>
      <c r="L28" s="6"/>
      <c r="M28" s="6"/>
      <c r="N28" s="6"/>
    </row>
    <row r="29" spans="1:14" ht="102" customHeight="1">
      <c r="A29" s="11"/>
      <c r="B29" s="120" t="str">
        <f>master!B9</f>
        <v>データベースとは</v>
      </c>
      <c r="C29" s="48" t="str">
        <f>master!C9</f>
        <v>データベースとは</v>
      </c>
      <c r="D29" s="114" t="s">
        <v>104</v>
      </c>
      <c r="E29" s="115"/>
      <c r="F29" s="116"/>
      <c r="G29" s="48" t="s">
        <v>43</v>
      </c>
      <c r="H29" s="12"/>
      <c r="I29" s="46" t="s">
        <v>24</v>
      </c>
      <c r="J29" s="44">
        <v>2.0833333333333333E-3</v>
      </c>
      <c r="K29" s="40"/>
      <c r="L29" s="6"/>
      <c r="M29" s="6"/>
      <c r="N29" s="6"/>
    </row>
    <row r="30" spans="1:14" ht="88.2">
      <c r="A30" s="11"/>
      <c r="B30" s="121"/>
      <c r="C30" s="48" t="str">
        <f>master!C10</f>
        <v>リレーショナルデータベース</v>
      </c>
      <c r="D30" s="114" t="s">
        <v>105</v>
      </c>
      <c r="E30" s="115"/>
      <c r="F30" s="116"/>
      <c r="G30" s="48" t="s">
        <v>47</v>
      </c>
      <c r="H30" s="12"/>
      <c r="I30" s="46" t="s">
        <v>24</v>
      </c>
      <c r="J30" s="44">
        <v>3.472222222222222E-3</v>
      </c>
      <c r="K30" s="40"/>
      <c r="L30" s="6"/>
      <c r="M30" s="6"/>
      <c r="N30" s="6"/>
    </row>
    <row r="31" spans="1:14" ht="25.2">
      <c r="A31" s="11"/>
      <c r="B31" s="121"/>
      <c r="C31" s="48" t="str">
        <f>master!C11</f>
        <v>データベースの役割</v>
      </c>
      <c r="D31" s="114" t="s">
        <v>106</v>
      </c>
      <c r="E31" s="115"/>
      <c r="F31" s="116"/>
      <c r="G31" s="48" t="s">
        <v>48</v>
      </c>
      <c r="H31" s="12"/>
      <c r="I31" s="46" t="s">
        <v>24</v>
      </c>
      <c r="J31" s="44">
        <v>3.472222222222222E-3</v>
      </c>
      <c r="K31" s="40" t="s">
        <v>116</v>
      </c>
      <c r="L31" s="6"/>
      <c r="M31" s="6"/>
      <c r="N31" s="6"/>
    </row>
    <row r="32" spans="1:14" ht="75.599999999999994">
      <c r="A32" s="11"/>
      <c r="B32" s="121"/>
      <c r="C32" s="48" t="str">
        <f>master!C12</f>
        <v>2.1.テーブル</v>
      </c>
      <c r="D32" s="114" t="s">
        <v>107</v>
      </c>
      <c r="E32" s="115"/>
      <c r="F32" s="116"/>
      <c r="G32" s="48" t="s">
        <v>45</v>
      </c>
      <c r="H32" s="12"/>
      <c r="I32" s="46" t="s">
        <v>24</v>
      </c>
      <c r="J32" s="44">
        <v>2.0833333333333333E-3</v>
      </c>
      <c r="K32" s="40"/>
      <c r="L32" s="6"/>
      <c r="M32" s="6"/>
      <c r="N32" s="6"/>
    </row>
    <row r="33" spans="1:14" ht="100.8">
      <c r="A33" s="11"/>
      <c r="B33" s="121"/>
      <c r="C33" s="48" t="str">
        <f>master!C13</f>
        <v>2.2.データ型１</v>
      </c>
      <c r="D33" s="114" t="s">
        <v>108</v>
      </c>
      <c r="E33" s="115"/>
      <c r="F33" s="116"/>
      <c r="G33" s="48" t="s">
        <v>49</v>
      </c>
      <c r="H33" s="12"/>
      <c r="I33" s="46" t="s">
        <v>24</v>
      </c>
      <c r="J33" s="44">
        <v>2.0833333333333333E-3</v>
      </c>
      <c r="K33" s="40"/>
      <c r="L33" s="6"/>
      <c r="M33" s="6"/>
      <c r="N33" s="6"/>
    </row>
    <row r="34" spans="1:14" ht="37.799999999999997">
      <c r="A34" s="11"/>
      <c r="B34" s="121"/>
      <c r="C34" s="48" t="str">
        <f>master!C14</f>
        <v>2.2.データ型２</v>
      </c>
      <c r="D34" s="114" t="s">
        <v>109</v>
      </c>
      <c r="E34" s="115"/>
      <c r="F34" s="116"/>
      <c r="G34" s="48" t="s">
        <v>43</v>
      </c>
      <c r="H34" s="12"/>
      <c r="I34" s="46" t="s">
        <v>24</v>
      </c>
      <c r="J34" s="44">
        <v>2.0833333333333333E-3</v>
      </c>
      <c r="K34" s="40"/>
      <c r="L34" s="6"/>
      <c r="M34" s="6"/>
      <c r="N34" s="6"/>
    </row>
    <row r="35" spans="1:14" ht="37.799999999999997">
      <c r="A35" s="11"/>
      <c r="B35" s="121"/>
      <c r="C35" s="48" t="str">
        <f>master!C15</f>
        <v>2.3.リレーション</v>
      </c>
      <c r="D35" s="114" t="s">
        <v>110</v>
      </c>
      <c r="E35" s="115"/>
      <c r="F35" s="116"/>
      <c r="G35" s="48" t="s">
        <v>43</v>
      </c>
      <c r="H35" s="12"/>
      <c r="I35" s="46" t="s">
        <v>24</v>
      </c>
      <c r="J35" s="44">
        <v>3.472222222222222E-3</v>
      </c>
      <c r="K35" s="40"/>
      <c r="L35" s="6"/>
      <c r="M35" s="6"/>
      <c r="N35" s="6"/>
    </row>
    <row r="36" spans="1:14" ht="37.799999999999997">
      <c r="A36" s="11"/>
      <c r="B36" s="122"/>
      <c r="C36" s="48" t="str">
        <f>master!C16</f>
        <v>2.4.データを結合して取得（Join）</v>
      </c>
      <c r="D36" s="114" t="s">
        <v>111</v>
      </c>
      <c r="E36" s="115"/>
      <c r="F36" s="116"/>
      <c r="G36" s="48" t="s">
        <v>43</v>
      </c>
      <c r="H36" s="12"/>
      <c r="I36" s="46" t="s">
        <v>24</v>
      </c>
      <c r="J36" s="44">
        <v>2.0833333333333333E-3</v>
      </c>
      <c r="K36" s="40"/>
      <c r="L36" s="6"/>
      <c r="M36" s="6"/>
      <c r="N36" s="6"/>
    </row>
    <row r="37" spans="1:14" ht="88.2">
      <c r="A37" s="11"/>
      <c r="B37" s="120" t="str">
        <f>master!B17</f>
        <v>Java言語、Springフレームワークとは</v>
      </c>
      <c r="C37" s="48" t="str">
        <f>master!C17</f>
        <v>Webアプリケーションを作成するためのプログラミング言語</v>
      </c>
      <c r="D37" s="114" t="s">
        <v>112</v>
      </c>
      <c r="E37" s="115"/>
      <c r="F37" s="116"/>
      <c r="G37" s="48" t="s">
        <v>47</v>
      </c>
      <c r="H37" s="12"/>
      <c r="I37" s="46" t="s">
        <v>24</v>
      </c>
      <c r="J37" s="44">
        <v>2.0833333333333333E-3</v>
      </c>
      <c r="K37" s="40"/>
      <c r="L37" s="6"/>
      <c r="M37" s="6"/>
      <c r="N37" s="6"/>
    </row>
    <row r="38" spans="1:14" ht="75.599999999999994">
      <c r="A38" s="11"/>
      <c r="B38" s="121"/>
      <c r="C38" s="48" t="str">
        <f>master!C18</f>
        <v>Java</v>
      </c>
      <c r="D38" s="114" t="s">
        <v>113</v>
      </c>
      <c r="E38" s="115"/>
      <c r="F38" s="116"/>
      <c r="G38" s="48" t="s">
        <v>45</v>
      </c>
      <c r="H38" s="12"/>
      <c r="I38" s="46" t="s">
        <v>24</v>
      </c>
      <c r="J38" s="44">
        <v>3.472222222222222E-3</v>
      </c>
      <c r="K38" s="40"/>
      <c r="L38" s="6"/>
      <c r="M38" s="6"/>
      <c r="N38" s="6"/>
    </row>
    <row r="39" spans="1:14" ht="75.599999999999994">
      <c r="A39" s="11"/>
      <c r="B39" s="121"/>
      <c r="C39" s="48" t="str">
        <f>master!C19</f>
        <v>Java言語の構成要素</v>
      </c>
      <c r="D39" s="114" t="s">
        <v>114</v>
      </c>
      <c r="E39" s="115"/>
      <c r="F39" s="116"/>
      <c r="G39" s="48" t="s">
        <v>45</v>
      </c>
      <c r="H39" s="12"/>
      <c r="I39" s="46" t="s">
        <v>24</v>
      </c>
      <c r="J39" s="44">
        <v>2.0833333333333333E-3</v>
      </c>
      <c r="K39" s="40"/>
      <c r="L39" s="6"/>
      <c r="M39" s="6"/>
      <c r="N39" s="6"/>
    </row>
    <row r="40" spans="1:14" ht="50.4">
      <c r="A40" s="11"/>
      <c r="B40" s="121"/>
      <c r="C40" s="48" t="str">
        <f>master!C20</f>
        <v>Webアプリケーションを構成するクラス</v>
      </c>
      <c r="D40" s="114" t="s">
        <v>115</v>
      </c>
      <c r="E40" s="115"/>
      <c r="F40" s="116"/>
      <c r="G40" s="48" t="s">
        <v>44</v>
      </c>
      <c r="H40" s="12"/>
      <c r="I40" s="46" t="s">
        <v>24</v>
      </c>
      <c r="J40" s="44">
        <v>3.472222222222222E-3</v>
      </c>
      <c r="K40" s="40"/>
      <c r="L40" s="6"/>
      <c r="M40" s="6"/>
      <c r="N40" s="6"/>
    </row>
    <row r="41" spans="1:14" ht="88.2">
      <c r="A41" s="11"/>
      <c r="B41" s="121"/>
      <c r="C41" s="48" t="str">
        <f>master!C21</f>
        <v>Nレイヤーアーキテクチャ</v>
      </c>
      <c r="D41" s="114" t="s">
        <v>117</v>
      </c>
      <c r="E41" s="115"/>
      <c r="F41" s="116"/>
      <c r="G41" s="48" t="s">
        <v>47</v>
      </c>
      <c r="H41" s="12"/>
      <c r="I41" s="46" t="s">
        <v>24</v>
      </c>
      <c r="J41" s="44">
        <v>3.472222222222222E-3</v>
      </c>
      <c r="K41" s="40" t="s">
        <v>116</v>
      </c>
      <c r="L41" s="6"/>
      <c r="M41" s="6"/>
      <c r="N41" s="6"/>
    </row>
    <row r="42" spans="1:14" ht="201.6">
      <c r="A42" s="11"/>
      <c r="B42" s="121"/>
      <c r="C42" s="48" t="str">
        <f>master!C22</f>
        <v>View と Controller と Service と Repository</v>
      </c>
      <c r="D42" s="114" t="s">
        <v>118</v>
      </c>
      <c r="E42" s="115"/>
      <c r="F42" s="116"/>
      <c r="G42" s="48" t="s">
        <v>119</v>
      </c>
      <c r="H42" s="12"/>
      <c r="I42" s="46" t="s">
        <v>50</v>
      </c>
      <c r="J42" s="44">
        <v>3.472222222222222E-3</v>
      </c>
      <c r="K42" s="40"/>
      <c r="L42" s="6"/>
      <c r="M42" s="6"/>
      <c r="N42" s="6"/>
    </row>
    <row r="43" spans="1:14" ht="37.799999999999997">
      <c r="A43" s="11"/>
      <c r="B43" s="121"/>
      <c r="C43" s="48" t="str">
        <f>master!C23</f>
        <v>Nレイヤーアーキテクチャ</v>
      </c>
      <c r="D43" s="114" t="s">
        <v>120</v>
      </c>
      <c r="E43" s="115"/>
      <c r="F43" s="116"/>
      <c r="G43" s="48" t="s">
        <v>43</v>
      </c>
      <c r="H43" s="12"/>
      <c r="I43" s="46" t="s">
        <v>24</v>
      </c>
      <c r="J43" s="44">
        <v>2.0833333333333333E-3</v>
      </c>
      <c r="K43" s="40"/>
      <c r="L43" s="6"/>
      <c r="M43" s="6"/>
      <c r="N43" s="6"/>
    </row>
    <row r="44" spans="1:14" ht="163.80000000000001">
      <c r="A44" s="11"/>
      <c r="B44" s="121"/>
      <c r="C44" s="48" t="str">
        <f>master!C24</f>
        <v>Webアプリケーション フレームワーク</v>
      </c>
      <c r="D44" s="114" t="s">
        <v>121</v>
      </c>
      <c r="E44" s="115"/>
      <c r="F44" s="116"/>
      <c r="G44" s="48" t="s">
        <v>122</v>
      </c>
      <c r="H44" s="12"/>
      <c r="I44" s="46" t="s">
        <v>24</v>
      </c>
      <c r="J44" s="44">
        <v>3.472222222222222E-3</v>
      </c>
      <c r="K44" s="40"/>
      <c r="L44" s="6"/>
      <c r="M44" s="6"/>
      <c r="N44" s="6"/>
    </row>
    <row r="45" spans="1:14" ht="25.2">
      <c r="A45" s="11"/>
      <c r="B45" s="121"/>
      <c r="C45" s="48" t="str">
        <f>master!C25</f>
        <v>Java向けWebアプリケーションフレームワーク</v>
      </c>
      <c r="D45" s="114" t="s">
        <v>123</v>
      </c>
      <c r="E45" s="115"/>
      <c r="F45" s="116"/>
      <c r="G45" s="48" t="s">
        <v>48</v>
      </c>
      <c r="H45" s="12"/>
      <c r="I45" s="46" t="s">
        <v>24</v>
      </c>
      <c r="J45" s="44">
        <v>6.9444444444444447E-4</v>
      </c>
      <c r="K45" s="40"/>
      <c r="L45" s="6"/>
      <c r="M45" s="6"/>
      <c r="N45" s="6"/>
    </row>
    <row r="46" spans="1:14" ht="189">
      <c r="A46" s="11"/>
      <c r="B46" s="121"/>
      <c r="C46" s="48" t="str">
        <f>master!C26</f>
        <v>Springフレームワーク</v>
      </c>
      <c r="D46" s="114" t="s">
        <v>124</v>
      </c>
      <c r="E46" s="115"/>
      <c r="F46" s="116"/>
      <c r="G46" s="48" t="s">
        <v>125</v>
      </c>
      <c r="H46" s="12"/>
      <c r="I46" s="46" t="s">
        <v>24</v>
      </c>
      <c r="J46" s="44">
        <v>3.472222222222222E-3</v>
      </c>
      <c r="K46" s="40"/>
      <c r="L46" s="6"/>
      <c r="M46" s="6"/>
      <c r="N46" s="6"/>
    </row>
    <row r="47" spans="1:14" ht="88.2">
      <c r="A47" s="11"/>
      <c r="B47" s="121"/>
      <c r="C47" s="48" t="str">
        <f>master!C27</f>
        <v>Springフレームワーク：DIコンテナとは</v>
      </c>
      <c r="D47" s="114" t="s">
        <v>126</v>
      </c>
      <c r="E47" s="115"/>
      <c r="F47" s="116"/>
      <c r="G47" s="48" t="s">
        <v>47</v>
      </c>
      <c r="H47" s="12"/>
      <c r="I47" s="46" t="s">
        <v>24</v>
      </c>
      <c r="J47" s="44">
        <v>3.472222222222222E-3</v>
      </c>
      <c r="K47" s="40" t="s">
        <v>116</v>
      </c>
      <c r="L47" s="6"/>
      <c r="M47" s="6"/>
      <c r="N47" s="6"/>
    </row>
    <row r="48" spans="1:14" ht="63">
      <c r="A48" s="11"/>
      <c r="B48" s="121"/>
      <c r="C48" s="48" t="str">
        <f>master!C28</f>
        <v>DIコンテナ：DIコンテナが部品を注入する</v>
      </c>
      <c r="D48" s="114" t="s">
        <v>127</v>
      </c>
      <c r="E48" s="115"/>
      <c r="F48" s="116"/>
      <c r="G48" s="48" t="s">
        <v>42</v>
      </c>
      <c r="H48" s="12"/>
      <c r="I48" s="46" t="s">
        <v>24</v>
      </c>
      <c r="J48" s="44">
        <v>2.0833333333333333E-3</v>
      </c>
      <c r="K48" s="40"/>
      <c r="L48" s="6"/>
      <c r="M48" s="6"/>
      <c r="N48" s="6"/>
    </row>
    <row r="49" spans="1:14" ht="100.8">
      <c r="A49" s="11"/>
      <c r="B49" s="121"/>
      <c r="C49" s="48" t="str">
        <f>master!C29</f>
        <v>DIコンテナ：DIコンテナによる部品と注入対象になるための目印</v>
      </c>
      <c r="D49" s="114" t="s">
        <v>128</v>
      </c>
      <c r="E49" s="115"/>
      <c r="F49" s="116"/>
      <c r="G49" s="48" t="s">
        <v>49</v>
      </c>
      <c r="H49" s="12"/>
      <c r="I49" s="46" t="s">
        <v>24</v>
      </c>
      <c r="J49" s="44">
        <v>2.0833333333333333E-3</v>
      </c>
      <c r="K49" s="40"/>
      <c r="L49" s="6"/>
      <c r="M49" s="6"/>
      <c r="N49" s="6"/>
    </row>
    <row r="50" spans="1:14" ht="100.8">
      <c r="A50" s="11"/>
      <c r="B50" s="121"/>
      <c r="C50" s="48" t="str">
        <f>master!C30</f>
        <v>Springフレームワークにおける部品の設定</v>
      </c>
      <c r="D50" s="114" t="s">
        <v>129</v>
      </c>
      <c r="E50" s="115"/>
      <c r="F50" s="116"/>
      <c r="G50" s="48" t="s">
        <v>49</v>
      </c>
      <c r="H50" s="12"/>
      <c r="I50" s="46" t="s">
        <v>24</v>
      </c>
      <c r="J50" s="44">
        <v>2.0833333333333333E-3</v>
      </c>
      <c r="K50" s="40"/>
      <c r="L50" s="6"/>
      <c r="M50" s="6"/>
      <c r="N50" s="6"/>
    </row>
    <row r="51" spans="1:14" ht="88.2">
      <c r="A51" s="11"/>
      <c r="B51" s="121"/>
      <c r="C51" s="48" t="str">
        <f>master!C31</f>
        <v>Spring Boot</v>
      </c>
      <c r="D51" s="114" t="s">
        <v>130</v>
      </c>
      <c r="E51" s="115"/>
      <c r="F51" s="116"/>
      <c r="G51" s="48" t="s">
        <v>47</v>
      </c>
      <c r="H51" s="12"/>
      <c r="I51" s="46" t="s">
        <v>24</v>
      </c>
      <c r="J51" s="44">
        <v>2.0833333333333333E-3</v>
      </c>
      <c r="K51" s="40"/>
      <c r="L51" s="6"/>
      <c r="M51" s="6"/>
      <c r="N51" s="6"/>
    </row>
    <row r="52" spans="1:14" ht="63">
      <c r="A52" s="11"/>
      <c r="B52" s="121"/>
      <c r="C52" s="48" t="str">
        <f>master!C32</f>
        <v>Spring Boot：オートコンフィグレーション</v>
      </c>
      <c r="D52" s="114" t="s">
        <v>131</v>
      </c>
      <c r="E52" s="115"/>
      <c r="F52" s="116"/>
      <c r="G52" s="48" t="s">
        <v>42</v>
      </c>
      <c r="H52" s="12"/>
      <c r="I52" s="46" t="s">
        <v>24</v>
      </c>
      <c r="J52" s="44">
        <v>2.0833333333333333E-3</v>
      </c>
      <c r="K52" s="40"/>
      <c r="L52" s="6"/>
      <c r="M52" s="6"/>
      <c r="N52" s="6"/>
    </row>
    <row r="53" spans="1:14" ht="50.4">
      <c r="A53" s="11"/>
      <c r="B53" s="121"/>
      <c r="C53" s="48" t="str">
        <f>master!C33</f>
        <v>Spring Boot：Starters</v>
      </c>
      <c r="D53" s="114" t="s">
        <v>132</v>
      </c>
      <c r="E53" s="115"/>
      <c r="F53" s="116"/>
      <c r="G53" s="48" t="s">
        <v>44</v>
      </c>
      <c r="H53" s="12"/>
      <c r="I53" s="46" t="s">
        <v>24</v>
      </c>
      <c r="J53" s="44">
        <v>1.3888888888888889E-3</v>
      </c>
      <c r="K53" s="40"/>
      <c r="L53" s="6"/>
      <c r="M53" s="6"/>
      <c r="N53" s="6"/>
    </row>
    <row r="54" spans="1:14" ht="88.2">
      <c r="A54" s="11"/>
      <c r="B54" s="121"/>
      <c r="C54" s="48" t="str">
        <f>master!C34</f>
        <v>Spring Boot：組込みWebAPサーバ</v>
      </c>
      <c r="D54" s="114" t="s">
        <v>133</v>
      </c>
      <c r="E54" s="115"/>
      <c r="F54" s="116"/>
      <c r="G54" s="48" t="s">
        <v>47</v>
      </c>
      <c r="H54" s="12"/>
      <c r="I54" s="46" t="s">
        <v>24</v>
      </c>
      <c r="J54" s="44">
        <v>1.3888888888888889E-3</v>
      </c>
      <c r="K54" s="40"/>
      <c r="L54" s="6"/>
      <c r="M54" s="6"/>
      <c r="N54" s="6"/>
    </row>
    <row r="55" spans="1:14" ht="25.2">
      <c r="A55" s="11"/>
      <c r="B55" s="122"/>
      <c r="C55" s="48" t="str">
        <f>master!C35</f>
        <v>おすすめ書籍：『プロになるためのSpring入門』</v>
      </c>
      <c r="D55" s="114"/>
      <c r="E55" s="115"/>
      <c r="F55" s="116"/>
      <c r="G55" s="48" t="s">
        <v>48</v>
      </c>
      <c r="H55" s="12"/>
      <c r="I55" s="46" t="s">
        <v>24</v>
      </c>
      <c r="J55" s="44">
        <v>6.9444444444444447E-4</v>
      </c>
      <c r="K55" s="40"/>
      <c r="L55" s="6"/>
      <c r="M55" s="6"/>
      <c r="N55" s="6"/>
    </row>
    <row r="56" spans="1:14" ht="37.799999999999997">
      <c r="A56" s="11"/>
      <c r="B56" s="123" t="str">
        <f>master!B37</f>
        <v>課題1の導入</v>
      </c>
      <c r="C56" s="58" t="str">
        <f>master!C37</f>
        <v>演習課題の概要</v>
      </c>
      <c r="D56" s="105" t="s">
        <v>175</v>
      </c>
      <c r="E56" s="106"/>
      <c r="F56" s="107"/>
      <c r="G56" s="58" t="s">
        <v>358</v>
      </c>
      <c r="H56" s="59"/>
      <c r="I56" s="60" t="s">
        <v>24</v>
      </c>
      <c r="J56" s="61">
        <v>6.9444444444444447E-4</v>
      </c>
      <c r="K56" s="62"/>
      <c r="L56" s="6"/>
      <c r="M56" s="6"/>
      <c r="N56" s="6"/>
    </row>
    <row r="57" spans="1:14" ht="37.799999999999997">
      <c r="A57" s="11"/>
      <c r="B57" s="124"/>
      <c r="C57" s="58" t="str">
        <f>master!C38</f>
        <v>作成物</v>
      </c>
      <c r="D57" s="105" t="s">
        <v>176</v>
      </c>
      <c r="E57" s="106"/>
      <c r="F57" s="107"/>
      <c r="G57" s="58" t="s">
        <v>358</v>
      </c>
      <c r="H57" s="59"/>
      <c r="I57" s="60" t="s">
        <v>24</v>
      </c>
      <c r="J57" s="61">
        <v>6.9444444444444447E-4</v>
      </c>
      <c r="K57" s="62"/>
      <c r="L57" s="6"/>
      <c r="M57" s="6"/>
      <c r="N57" s="6"/>
    </row>
    <row r="58" spans="1:14" ht="75.599999999999994">
      <c r="A58" s="11"/>
      <c r="B58" s="125"/>
      <c r="C58" s="58" t="str">
        <f>master!C39</f>
        <v>演習課題の進め方</v>
      </c>
      <c r="D58" s="105" t="s">
        <v>177</v>
      </c>
      <c r="E58" s="106"/>
      <c r="F58" s="107"/>
      <c r="G58" s="58" t="s">
        <v>359</v>
      </c>
      <c r="H58" s="59"/>
      <c r="I58" s="60" t="s">
        <v>24</v>
      </c>
      <c r="J58" s="61">
        <v>1.3888888888888888E-2</v>
      </c>
      <c r="K58" s="62"/>
      <c r="L58" s="6"/>
      <c r="M58" s="6"/>
      <c r="N58" s="6"/>
    </row>
    <row r="59" spans="1:14" ht="15" customHeight="1">
      <c r="A59" s="11"/>
      <c r="B59" s="123" t="str">
        <f>master!B40</f>
        <v>Spring Bootプロジェクトの_x000B_準備、起動確認</v>
      </c>
      <c r="C59" s="58" t="str">
        <f>master!C40</f>
        <v>前提条件</v>
      </c>
      <c r="D59" s="105"/>
      <c r="E59" s="106"/>
      <c r="F59" s="107"/>
      <c r="G59" s="58" t="s">
        <v>360</v>
      </c>
      <c r="H59" s="59"/>
      <c r="I59" s="60" t="s">
        <v>24</v>
      </c>
      <c r="J59" s="61">
        <v>6.9444444444444447E-4</v>
      </c>
      <c r="K59" s="62"/>
      <c r="L59" s="6"/>
      <c r="M59" s="6"/>
      <c r="N59" s="6"/>
    </row>
    <row r="60" spans="1:14" ht="37.799999999999997">
      <c r="A60" s="11"/>
      <c r="B60" s="124"/>
      <c r="C60" s="58" t="str">
        <f>master!C41</f>
        <v>Spring Bootプロジェクトの準備</v>
      </c>
      <c r="D60" s="105" t="s">
        <v>178</v>
      </c>
      <c r="E60" s="106"/>
      <c r="F60" s="107"/>
      <c r="G60" s="58" t="s">
        <v>358</v>
      </c>
      <c r="H60" s="59"/>
      <c r="I60" s="60" t="s">
        <v>24</v>
      </c>
      <c r="J60" s="61">
        <v>6.9444444444444441E-3</v>
      </c>
      <c r="K60" s="62"/>
      <c r="L60" s="6"/>
      <c r="M60" s="6"/>
      <c r="N60" s="6"/>
    </row>
    <row r="61" spans="1:14" ht="25.2">
      <c r="A61" s="11"/>
      <c r="B61" s="124"/>
      <c r="C61" s="58" t="str">
        <f>master!C42</f>
        <v>（補足）Spring Bootプロジェクトの準備</v>
      </c>
      <c r="D61" s="105" t="s">
        <v>179</v>
      </c>
      <c r="E61" s="106"/>
      <c r="F61" s="107"/>
      <c r="G61" s="58" t="s">
        <v>361</v>
      </c>
      <c r="H61" s="59"/>
      <c r="I61" s="60" t="s">
        <v>50</v>
      </c>
      <c r="J61" s="61">
        <v>0</v>
      </c>
      <c r="K61" s="62"/>
      <c r="L61" s="6"/>
      <c r="M61" s="6"/>
      <c r="N61" s="6"/>
    </row>
    <row r="62" spans="1:14" ht="88.2">
      <c r="A62" s="11"/>
      <c r="B62" s="125"/>
      <c r="C62" s="58" t="str">
        <f>master!C43</f>
        <v>Spring Bootアプリケーションの起動確認</v>
      </c>
      <c r="D62" s="105" t="s">
        <v>201</v>
      </c>
      <c r="E62" s="106"/>
      <c r="F62" s="107"/>
      <c r="G62" s="58" t="s">
        <v>362</v>
      </c>
      <c r="H62" s="59"/>
      <c r="I62" s="60" t="s">
        <v>50</v>
      </c>
      <c r="J62" s="61">
        <v>6.9444444444444441E-3</v>
      </c>
      <c r="K62" s="62"/>
      <c r="L62" s="6"/>
      <c r="M62" s="6"/>
      <c r="N62" s="6"/>
    </row>
    <row r="63" spans="1:14" ht="190.2" customHeight="1">
      <c r="A63" s="11"/>
      <c r="B63" s="123" t="str">
        <f>master!B44</f>
        <v>ECサイト Webアプリの要件</v>
      </c>
      <c r="C63" s="58" t="str">
        <f>master!C44</f>
        <v>ECサイト Webアプリの要件 – はじめに</v>
      </c>
      <c r="D63" s="105" t="s">
        <v>180</v>
      </c>
      <c r="E63" s="106"/>
      <c r="F63" s="107"/>
      <c r="G63" s="58" t="s">
        <v>363</v>
      </c>
      <c r="H63" s="59"/>
      <c r="I63" s="60" t="s">
        <v>24</v>
      </c>
      <c r="J63" s="61">
        <v>6.9444444444444447E-4</v>
      </c>
      <c r="K63" s="62"/>
      <c r="L63" s="6"/>
      <c r="M63" s="6"/>
      <c r="N63" s="6"/>
    </row>
    <row r="64" spans="1:14" ht="151.19999999999999">
      <c r="A64" s="11"/>
      <c r="B64" s="124"/>
      <c r="C64" s="58" t="str">
        <f>master!C45</f>
        <v>ECサイト Webアプリの要件➊ 画面</v>
      </c>
      <c r="D64" s="105" t="s">
        <v>182</v>
      </c>
      <c r="E64" s="106"/>
      <c r="F64" s="107"/>
      <c r="G64" s="58" t="s">
        <v>364</v>
      </c>
      <c r="H64" s="59"/>
      <c r="I64" s="60" t="s">
        <v>24</v>
      </c>
      <c r="J64" s="61">
        <v>6.9444444444444447E-4</v>
      </c>
      <c r="K64" s="62"/>
      <c r="L64" s="6"/>
      <c r="M64" s="6"/>
      <c r="N64" s="6"/>
    </row>
    <row r="65" spans="1:14" ht="214.2">
      <c r="A65" s="11"/>
      <c r="B65" s="124"/>
      <c r="C65" s="58" t="str">
        <f>master!C46</f>
        <v>ECサイト Webアプリの要件➋ 機能</v>
      </c>
      <c r="D65" s="105" t="s">
        <v>183</v>
      </c>
      <c r="E65" s="106"/>
      <c r="F65" s="107"/>
      <c r="G65" s="58" t="s">
        <v>365</v>
      </c>
      <c r="H65" s="59"/>
      <c r="I65" s="60" t="s">
        <v>24</v>
      </c>
      <c r="J65" s="61">
        <v>6.9444444444444447E-4</v>
      </c>
      <c r="K65" s="62"/>
      <c r="L65" s="6"/>
      <c r="M65" s="6"/>
      <c r="N65" s="6"/>
    </row>
    <row r="66" spans="1:14" ht="63">
      <c r="A66" s="11"/>
      <c r="B66" s="124"/>
      <c r="C66" s="58" t="str">
        <f>master!C47</f>
        <v>ECサイト Webアプリの要件➌ 画面遷移</v>
      </c>
      <c r="D66" s="105" t="s">
        <v>184</v>
      </c>
      <c r="E66" s="106"/>
      <c r="F66" s="107"/>
      <c r="G66" s="58" t="s">
        <v>366</v>
      </c>
      <c r="H66" s="59"/>
      <c r="I66" s="60" t="s">
        <v>24</v>
      </c>
      <c r="J66" s="61">
        <v>1.3888888888888889E-3</v>
      </c>
      <c r="K66" s="62"/>
      <c r="L66" s="6"/>
      <c r="M66" s="6"/>
      <c r="N66" s="6"/>
    </row>
    <row r="67" spans="1:14" ht="163.80000000000001">
      <c r="A67" s="11"/>
      <c r="B67" s="124"/>
      <c r="C67" s="58" t="str">
        <f>master!C48</f>
        <v>ECサイト Webアプリの要件❹ データ設計</v>
      </c>
      <c r="D67" s="105" t="s">
        <v>186</v>
      </c>
      <c r="E67" s="106"/>
      <c r="F67" s="107"/>
      <c r="G67" s="58" t="s">
        <v>367</v>
      </c>
      <c r="H67" s="59"/>
      <c r="I67" s="60" t="s">
        <v>24</v>
      </c>
      <c r="J67" s="61">
        <v>2.0833333333333333E-3</v>
      </c>
      <c r="K67" s="62"/>
      <c r="L67" s="6"/>
      <c r="M67" s="6"/>
      <c r="N67" s="6"/>
    </row>
    <row r="68" spans="1:14" ht="50.4">
      <c r="A68" s="11"/>
      <c r="B68" s="124"/>
      <c r="C68" s="58" t="str">
        <f>master!C49</f>
        <v>ECサイト Webアプリの要件❺ 初期データ</v>
      </c>
      <c r="D68" s="105" t="s">
        <v>187</v>
      </c>
      <c r="E68" s="106"/>
      <c r="F68" s="107"/>
      <c r="G68" s="58" t="s">
        <v>363</v>
      </c>
      <c r="H68" s="59"/>
      <c r="I68" s="60" t="s">
        <v>24</v>
      </c>
      <c r="J68" s="61">
        <v>6.9444444444444447E-4</v>
      </c>
      <c r="K68" s="62"/>
      <c r="L68" s="6"/>
      <c r="M68" s="6"/>
      <c r="N68" s="6"/>
    </row>
    <row r="69" spans="1:14" ht="37.799999999999997">
      <c r="A69" s="11"/>
      <c r="B69" s="124"/>
      <c r="C69" s="58" t="str">
        <f>master!C50</f>
        <v>ECサイト Webアプリの要件❻ ディレクトリ構成</v>
      </c>
      <c r="D69" s="105" t="s">
        <v>188</v>
      </c>
      <c r="E69" s="106"/>
      <c r="F69" s="107"/>
      <c r="G69" s="58" t="s">
        <v>358</v>
      </c>
      <c r="H69" s="59"/>
      <c r="I69" s="60" t="s">
        <v>24</v>
      </c>
      <c r="J69" s="61">
        <v>1.0416666666666666E-2</v>
      </c>
      <c r="K69" s="62"/>
      <c r="L69" s="6"/>
      <c r="M69" s="6"/>
      <c r="N69" s="6"/>
    </row>
    <row r="70" spans="1:14" ht="37.799999999999997">
      <c r="A70" s="11"/>
      <c r="B70" s="124"/>
      <c r="C70" s="58" t="str">
        <f>master!C51</f>
        <v>ECサイト Webアプリの要件❼ パッケージ構成</v>
      </c>
      <c r="D70" s="105" t="s">
        <v>190</v>
      </c>
      <c r="E70" s="106"/>
      <c r="F70" s="107"/>
      <c r="G70" s="58" t="s">
        <v>358</v>
      </c>
      <c r="H70" s="59"/>
      <c r="I70" s="60" t="s">
        <v>24</v>
      </c>
      <c r="J70" s="61">
        <v>3.472222222222222E-3</v>
      </c>
      <c r="K70" s="62"/>
      <c r="L70" s="6"/>
      <c r="M70" s="6"/>
      <c r="N70" s="6"/>
    </row>
    <row r="71" spans="1:14" ht="37.799999999999997">
      <c r="A71" s="11"/>
      <c r="B71" s="125"/>
      <c r="C71" s="58" t="str">
        <f>master!C52</f>
        <v>ECサイト Webアプリの要件❽ リソース構成</v>
      </c>
      <c r="D71" s="105" t="s">
        <v>189</v>
      </c>
      <c r="E71" s="106"/>
      <c r="F71" s="107"/>
      <c r="G71" s="58" t="s">
        <v>358</v>
      </c>
      <c r="H71" s="59"/>
      <c r="I71" s="60" t="s">
        <v>24</v>
      </c>
      <c r="J71" s="61">
        <v>6.9444444444444447E-4</v>
      </c>
      <c r="K71" s="62"/>
      <c r="L71" s="6"/>
      <c r="M71" s="6"/>
      <c r="N71" s="6"/>
    </row>
    <row r="72" spans="1:14" ht="25.2">
      <c r="A72" s="11"/>
      <c r="B72" s="123" t="str">
        <f>master!B53</f>
        <v>ハンズオン</v>
      </c>
      <c r="C72" s="58" t="str">
        <f>master!C53</f>
        <v>バイブコーディング – はじめに</v>
      </c>
      <c r="D72" s="105" t="s">
        <v>191</v>
      </c>
      <c r="E72" s="106"/>
      <c r="F72" s="107"/>
      <c r="G72" s="58" t="s">
        <v>361</v>
      </c>
      <c r="H72" s="59"/>
      <c r="I72" s="60" t="s">
        <v>24</v>
      </c>
      <c r="J72" s="61">
        <v>1.0416666666666666E-2</v>
      </c>
      <c r="K72" s="62"/>
      <c r="L72" s="6"/>
      <c r="M72" s="6"/>
      <c r="N72" s="6"/>
    </row>
    <row r="73" spans="1:14" ht="138.6">
      <c r="A73" s="11"/>
      <c r="B73" s="124"/>
      <c r="C73" s="58" t="str">
        <f>master!C54</f>
        <v>[構造理解] Webアプリケーションで必要なもの</v>
      </c>
      <c r="D73" s="105" t="s">
        <v>192</v>
      </c>
      <c r="E73" s="106"/>
      <c r="F73" s="107"/>
      <c r="G73" s="58" t="s">
        <v>368</v>
      </c>
      <c r="H73" s="59"/>
      <c r="I73" s="60" t="s">
        <v>24</v>
      </c>
      <c r="J73" s="61">
        <v>1.3888888888888889E-3</v>
      </c>
      <c r="K73" s="62"/>
      <c r="L73" s="6"/>
      <c r="M73" s="6"/>
      <c r="N73" s="6"/>
    </row>
    <row r="74" spans="1:14" ht="50.4">
      <c r="A74" s="11"/>
      <c r="B74" s="124"/>
      <c r="C74" s="76" t="str">
        <f>master!C55</f>
        <v>バイブコーディング➊ 画面モックアップを作ってデザインを決める</v>
      </c>
      <c r="D74" s="105" t="s">
        <v>202</v>
      </c>
      <c r="E74" s="106"/>
      <c r="F74" s="107"/>
      <c r="G74" s="58" t="s">
        <v>363</v>
      </c>
      <c r="H74" s="59"/>
      <c r="I74" s="60" t="s">
        <v>24</v>
      </c>
      <c r="J74" s="61">
        <v>1.3888888888888888E-2</v>
      </c>
      <c r="K74" s="62"/>
      <c r="L74" s="6"/>
      <c r="M74" s="6"/>
      <c r="N74" s="6"/>
    </row>
    <row r="75" spans="1:14" ht="88.2" customHeight="1">
      <c r="A75" s="11"/>
      <c r="B75" s="124"/>
      <c r="C75" s="77"/>
      <c r="D75" s="105" t="s">
        <v>193</v>
      </c>
      <c r="E75" s="106"/>
      <c r="F75" s="107"/>
      <c r="G75" s="58" t="s">
        <v>362</v>
      </c>
      <c r="H75" s="59"/>
      <c r="I75" s="60"/>
      <c r="J75" s="61"/>
      <c r="K75" s="62"/>
      <c r="L75" s="6"/>
      <c r="M75" s="6"/>
      <c r="N75" s="6"/>
    </row>
    <row r="76" spans="1:14" ht="50.4">
      <c r="A76" s="11"/>
      <c r="B76" s="124"/>
      <c r="C76" s="76" t="str">
        <f>master!C56</f>
        <v>バイブコーディング➋ データベースのテーブルを準備する</v>
      </c>
      <c r="D76" s="105" t="s">
        <v>206</v>
      </c>
      <c r="E76" s="106"/>
      <c r="F76" s="107"/>
      <c r="G76" s="58" t="s">
        <v>363</v>
      </c>
      <c r="H76" s="59"/>
      <c r="I76" s="60" t="s">
        <v>24</v>
      </c>
      <c r="J76" s="61">
        <v>1.3888888888888889E-3</v>
      </c>
      <c r="K76" s="62"/>
      <c r="L76" s="6"/>
      <c r="M76" s="6"/>
      <c r="N76" s="6"/>
    </row>
    <row r="77" spans="1:14" ht="88.2">
      <c r="A77" s="11"/>
      <c r="B77" s="124"/>
      <c r="C77" s="77"/>
      <c r="D77" s="105" t="s">
        <v>193</v>
      </c>
      <c r="E77" s="106"/>
      <c r="F77" s="107"/>
      <c r="G77" s="58" t="s">
        <v>362</v>
      </c>
      <c r="H77" s="59"/>
      <c r="I77" s="60"/>
      <c r="J77" s="61"/>
      <c r="K77" s="62"/>
      <c r="L77" s="6"/>
      <c r="M77" s="6"/>
      <c r="N77" s="6"/>
    </row>
    <row r="78" spans="1:14" ht="50.4">
      <c r="A78" s="11"/>
      <c r="B78" s="124"/>
      <c r="C78" s="76" t="str">
        <f>master!C57</f>
        <v>バイブコーディング➌ データベースのデータを準備する</v>
      </c>
      <c r="D78" s="105" t="s">
        <v>205</v>
      </c>
      <c r="E78" s="106"/>
      <c r="F78" s="107"/>
      <c r="G78" s="58" t="s">
        <v>363</v>
      </c>
      <c r="H78" s="59"/>
      <c r="I78" s="60" t="s">
        <v>24</v>
      </c>
      <c r="J78" s="61">
        <v>1.3888888888888889E-3</v>
      </c>
      <c r="K78" s="62"/>
      <c r="L78" s="6"/>
      <c r="M78" s="6"/>
      <c r="N78" s="6"/>
    </row>
    <row r="79" spans="1:14" ht="88.2">
      <c r="A79" s="11"/>
      <c r="B79" s="124"/>
      <c r="C79" s="77"/>
      <c r="D79" s="105" t="s">
        <v>193</v>
      </c>
      <c r="E79" s="106"/>
      <c r="F79" s="107"/>
      <c r="G79" s="58" t="s">
        <v>362</v>
      </c>
      <c r="H79" s="59"/>
      <c r="I79" s="60"/>
      <c r="J79" s="61"/>
      <c r="K79" s="62"/>
      <c r="L79" s="6"/>
      <c r="M79" s="6"/>
      <c r="N79" s="6"/>
    </row>
    <row r="80" spans="1:14" ht="63">
      <c r="A80" s="11"/>
      <c r="B80" s="124"/>
      <c r="C80" s="76" t="str">
        <f>master!C58</f>
        <v>バイブコーディング❹ データベース処理とビジネスロジックを作る</v>
      </c>
      <c r="D80" s="105" t="s">
        <v>204</v>
      </c>
      <c r="E80" s="106"/>
      <c r="F80" s="107"/>
      <c r="G80" s="58" t="s">
        <v>366</v>
      </c>
      <c r="H80" s="59"/>
      <c r="I80" s="60" t="s">
        <v>24</v>
      </c>
      <c r="J80" s="61">
        <v>3.472222222222222E-3</v>
      </c>
      <c r="K80" s="62"/>
      <c r="L80" s="6"/>
      <c r="M80" s="6"/>
      <c r="N80" s="6"/>
    </row>
    <row r="81" spans="1:14" ht="88.2">
      <c r="A81" s="11"/>
      <c r="B81" s="124"/>
      <c r="C81" s="77"/>
      <c r="D81" s="105" t="s">
        <v>193</v>
      </c>
      <c r="E81" s="106"/>
      <c r="F81" s="107"/>
      <c r="G81" s="58" t="s">
        <v>362</v>
      </c>
      <c r="H81" s="59"/>
      <c r="I81" s="60"/>
      <c r="J81" s="61"/>
      <c r="K81" s="62"/>
      <c r="L81" s="6"/>
      <c r="M81" s="6"/>
      <c r="N81" s="6"/>
    </row>
    <row r="82" spans="1:14" ht="50.4">
      <c r="A82" s="11"/>
      <c r="B82" s="124"/>
      <c r="C82" s="58" t="str">
        <f>master!C59</f>
        <v>[解説] RepositoryクラスとSQLの例（抜粋）</v>
      </c>
      <c r="D82" s="105" t="s">
        <v>194</v>
      </c>
      <c r="E82" s="106"/>
      <c r="F82" s="107"/>
      <c r="G82" s="58" t="s">
        <v>363</v>
      </c>
      <c r="H82" s="59"/>
      <c r="I82" s="60" t="s">
        <v>24</v>
      </c>
      <c r="J82" s="61">
        <v>2.0833333333333333E-3</v>
      </c>
      <c r="K82" s="62"/>
      <c r="L82" s="6"/>
      <c r="M82" s="6"/>
      <c r="N82" s="6"/>
    </row>
    <row r="83" spans="1:14" ht="50.4">
      <c r="A83" s="11"/>
      <c r="B83" s="124"/>
      <c r="C83" s="58" t="str">
        <f>master!C60</f>
        <v>[解説] Entity/Modelクラスの例（抜粋）</v>
      </c>
      <c r="D83" s="105" t="s">
        <v>195</v>
      </c>
      <c r="E83" s="106"/>
      <c r="F83" s="107"/>
      <c r="G83" s="58" t="s">
        <v>363</v>
      </c>
      <c r="H83" s="59"/>
      <c r="I83" s="60" t="s">
        <v>24</v>
      </c>
      <c r="J83" s="61">
        <v>1.3888888888888889E-3</v>
      </c>
      <c r="K83" s="62"/>
      <c r="L83" s="6"/>
      <c r="M83" s="6"/>
      <c r="N83" s="6"/>
    </row>
    <row r="84" spans="1:14" ht="37.799999999999997">
      <c r="A84" s="11"/>
      <c r="B84" s="124"/>
      <c r="C84" s="58" t="str">
        <f>master!C61</f>
        <v>[解説] Serviceクラスの例（抜粋）</v>
      </c>
      <c r="D84" s="105" t="s">
        <v>196</v>
      </c>
      <c r="E84" s="106"/>
      <c r="F84" s="107"/>
      <c r="G84" s="58" t="s">
        <v>358</v>
      </c>
      <c r="H84" s="59"/>
      <c r="I84" s="60" t="s">
        <v>24</v>
      </c>
      <c r="J84" s="61">
        <v>6.9444444444444447E-4</v>
      </c>
      <c r="K84" s="62"/>
      <c r="L84" s="6"/>
      <c r="M84" s="6"/>
      <c r="N84" s="6"/>
    </row>
    <row r="85" spans="1:14" ht="50.4">
      <c r="A85" s="11"/>
      <c r="B85" s="124"/>
      <c r="C85" s="76" t="str">
        <f>master!C62</f>
        <v>バイブコーディング❺ モックアップをもとに画面表示/処理を作る</v>
      </c>
      <c r="D85" s="105" t="s">
        <v>203</v>
      </c>
      <c r="E85" s="106"/>
      <c r="F85" s="107"/>
      <c r="G85" s="58" t="s">
        <v>363</v>
      </c>
      <c r="H85" s="59"/>
      <c r="I85" s="60" t="s">
        <v>24</v>
      </c>
      <c r="J85" s="61">
        <v>6.9444444444444441E-3</v>
      </c>
      <c r="K85" s="62"/>
      <c r="L85" s="6"/>
      <c r="M85" s="6"/>
      <c r="N85" s="6"/>
    </row>
    <row r="86" spans="1:14" ht="88.2">
      <c r="A86" s="11"/>
      <c r="B86" s="124"/>
      <c r="C86" s="77"/>
      <c r="D86" s="105" t="s">
        <v>193</v>
      </c>
      <c r="E86" s="106"/>
      <c r="F86" s="107"/>
      <c r="G86" s="58" t="s">
        <v>362</v>
      </c>
      <c r="H86" s="59"/>
      <c r="I86" s="60"/>
      <c r="J86" s="61"/>
      <c r="K86" s="62"/>
      <c r="L86" s="6"/>
      <c r="M86" s="6"/>
      <c r="N86" s="6"/>
    </row>
    <row r="87" spans="1:14" ht="37.799999999999997">
      <c r="A87" s="11"/>
      <c r="B87" s="124"/>
      <c r="C87" s="58" t="str">
        <f>master!C63</f>
        <v>[解説] Controllerクラスの例（抜粋）</v>
      </c>
      <c r="D87" s="105" t="s">
        <v>197</v>
      </c>
      <c r="E87" s="106"/>
      <c r="F87" s="107"/>
      <c r="G87" s="58" t="s">
        <v>358</v>
      </c>
      <c r="H87" s="59"/>
      <c r="I87" s="60" t="s">
        <v>24</v>
      </c>
      <c r="J87" s="61">
        <v>1.3888888888888889E-3</v>
      </c>
      <c r="K87" s="62"/>
      <c r="L87" s="6"/>
      <c r="M87" s="6"/>
      <c r="N87" s="6"/>
    </row>
    <row r="88" spans="1:14" ht="37.799999999999997">
      <c r="A88" s="11"/>
      <c r="B88" s="124"/>
      <c r="C88" s="58" t="str">
        <f>master!C64</f>
        <v>[解説] Thymeleafテンプレートの例（抜粋）</v>
      </c>
      <c r="D88" s="105" t="s">
        <v>198</v>
      </c>
      <c r="E88" s="106"/>
      <c r="F88" s="107"/>
      <c r="G88" s="58" t="s">
        <v>358</v>
      </c>
      <c r="H88" s="59"/>
      <c r="I88" s="60" t="s">
        <v>24</v>
      </c>
      <c r="J88" s="61">
        <v>1.3888888888888889E-3</v>
      </c>
      <c r="K88" s="62"/>
      <c r="L88" s="6"/>
      <c r="M88" s="6"/>
      <c r="N88" s="6"/>
    </row>
    <row r="89" spans="1:14" ht="37.799999999999997">
      <c r="A89" s="11"/>
      <c r="B89" s="124"/>
      <c r="C89" s="58" t="str">
        <f>master!C65</f>
        <v>[解説] Formクラスの例（抜粋）</v>
      </c>
      <c r="D89" s="105" t="s">
        <v>199</v>
      </c>
      <c r="E89" s="106"/>
      <c r="F89" s="107"/>
      <c r="G89" s="58" t="s">
        <v>358</v>
      </c>
      <c r="H89" s="59"/>
      <c r="I89" s="60" t="s">
        <v>24</v>
      </c>
      <c r="J89" s="61">
        <v>6.9444444444444447E-4</v>
      </c>
      <c r="K89" s="62"/>
      <c r="L89" s="6"/>
      <c r="M89" s="6"/>
      <c r="N89" s="6"/>
    </row>
    <row r="90" spans="1:14" ht="75.599999999999994">
      <c r="A90" s="11"/>
      <c r="B90" s="124"/>
      <c r="C90" s="76" t="str">
        <f>master!C66</f>
        <v>バイブコーディング❻ 動作を確認する</v>
      </c>
      <c r="D90" s="105" t="s">
        <v>200</v>
      </c>
      <c r="E90" s="106"/>
      <c r="F90" s="107"/>
      <c r="G90" s="58" t="s">
        <v>359</v>
      </c>
      <c r="H90" s="59"/>
      <c r="I90" s="60" t="s">
        <v>24</v>
      </c>
      <c r="J90" s="61">
        <v>6.9444444444444447E-4</v>
      </c>
      <c r="K90" s="62"/>
      <c r="L90" s="6"/>
      <c r="M90" s="6"/>
      <c r="N90" s="6"/>
    </row>
    <row r="91" spans="1:14" ht="63">
      <c r="A91" s="11"/>
      <c r="B91" s="125"/>
      <c r="C91" s="77"/>
      <c r="D91" s="105" t="s">
        <v>207</v>
      </c>
      <c r="E91" s="106"/>
      <c r="F91" s="107"/>
      <c r="G91" s="58" t="s">
        <v>366</v>
      </c>
      <c r="H91" s="59"/>
      <c r="I91" s="60" t="s">
        <v>24</v>
      </c>
      <c r="J91" s="61">
        <v>6.9444444444444441E-3</v>
      </c>
      <c r="K91" s="62"/>
      <c r="L91" s="6"/>
      <c r="M91" s="6"/>
      <c r="N91" s="6"/>
    </row>
    <row r="92" spans="1:14" ht="100.8">
      <c r="A92" s="11"/>
      <c r="B92" s="123" t="str">
        <f>master!B69</f>
        <v>Gitとは</v>
      </c>
      <c r="C92" s="58" t="str">
        <f>master!C69</f>
        <v>Gitとは</v>
      </c>
      <c r="D92" s="105" t="s">
        <v>209</v>
      </c>
      <c r="E92" s="106"/>
      <c r="F92" s="107"/>
      <c r="G92" s="58" t="s">
        <v>419</v>
      </c>
      <c r="H92" s="59"/>
      <c r="I92" s="60" t="s">
        <v>24</v>
      </c>
      <c r="J92" s="61">
        <v>3.472222222222222E-3</v>
      </c>
      <c r="K92" s="62"/>
      <c r="L92" s="6"/>
      <c r="M92" s="6"/>
      <c r="N92" s="6"/>
    </row>
    <row r="93" spans="1:14" ht="189">
      <c r="A93" s="11"/>
      <c r="B93" s="125"/>
      <c r="C93" s="58" t="str">
        <f>master!C70</f>
        <v>Gitの基本的な流れ</v>
      </c>
      <c r="D93" s="105" t="s">
        <v>214</v>
      </c>
      <c r="E93" s="106"/>
      <c r="F93" s="107"/>
      <c r="G93" s="58" t="s">
        <v>420</v>
      </c>
      <c r="H93" s="59"/>
      <c r="I93" s="60" t="s">
        <v>24</v>
      </c>
      <c r="J93" s="61">
        <v>3.472222222222222E-3</v>
      </c>
      <c r="K93" s="62"/>
      <c r="L93" s="6"/>
      <c r="M93" s="6"/>
      <c r="N93" s="6"/>
    </row>
    <row r="94" spans="1:14" ht="126">
      <c r="A94" s="11"/>
      <c r="B94" s="123" t="str">
        <f>master!B71</f>
        <v>VS Code上でGitを使う手順</v>
      </c>
      <c r="C94" s="58" t="str">
        <f>master!C71</f>
        <v>VS Code上でGitを使う手順-1 【ユーザ名等の登録】</v>
      </c>
      <c r="D94" s="105" t="s">
        <v>210</v>
      </c>
      <c r="E94" s="106"/>
      <c r="F94" s="107"/>
      <c r="G94" s="58" t="s">
        <v>421</v>
      </c>
      <c r="H94" s="59"/>
      <c r="I94" s="60" t="s">
        <v>24</v>
      </c>
      <c r="J94" s="61">
        <v>6.9444444444444441E-3</v>
      </c>
      <c r="K94" s="62"/>
      <c r="L94" s="6"/>
      <c r="M94" s="6"/>
      <c r="N94" s="6"/>
    </row>
    <row r="95" spans="1:14" ht="37.799999999999997">
      <c r="A95" s="11"/>
      <c r="B95" s="124"/>
      <c r="C95" s="58" t="str">
        <f>master!C72</f>
        <v>VS Code上でGitを使う手順-2 【リポジトリの初期化】</v>
      </c>
      <c r="D95" s="105" t="s">
        <v>211</v>
      </c>
      <c r="E95" s="106"/>
      <c r="F95" s="107"/>
      <c r="G95" s="58" t="s">
        <v>422</v>
      </c>
      <c r="H95" s="59"/>
      <c r="I95" s="60" t="s">
        <v>24</v>
      </c>
      <c r="J95" s="61">
        <v>3.472222222222222E-3</v>
      </c>
      <c r="K95" s="62"/>
      <c r="L95" s="6"/>
      <c r="M95" s="6"/>
      <c r="N95" s="6"/>
    </row>
    <row r="96" spans="1:14" ht="50.4">
      <c r="A96" s="11"/>
      <c r="B96" s="124"/>
      <c r="C96" s="58" t="str">
        <f>master!C73</f>
        <v>VS Code上でGitを使う手順-3 【最初のcommit】</v>
      </c>
      <c r="D96" s="105" t="s">
        <v>212</v>
      </c>
      <c r="E96" s="106"/>
      <c r="F96" s="107"/>
      <c r="G96" s="58" t="s">
        <v>423</v>
      </c>
      <c r="H96" s="59"/>
      <c r="I96" s="60" t="s">
        <v>24</v>
      </c>
      <c r="J96" s="61">
        <v>3.472222222222222E-3</v>
      </c>
      <c r="K96" s="62"/>
      <c r="L96" s="6"/>
      <c r="M96" s="6"/>
      <c r="N96" s="6"/>
    </row>
    <row r="97" spans="1:14" ht="50.4">
      <c r="A97" s="11"/>
      <c r="B97" s="124"/>
      <c r="C97" s="58" t="str">
        <f>master!C74</f>
        <v>VS Code上でGitを使う手順-4 【2回目以降のコミット】</v>
      </c>
      <c r="D97" s="105" t="s">
        <v>418</v>
      </c>
      <c r="E97" s="106"/>
      <c r="F97" s="107"/>
      <c r="G97" s="58" t="s">
        <v>423</v>
      </c>
      <c r="H97" s="59"/>
      <c r="I97" s="60" t="s">
        <v>24</v>
      </c>
      <c r="J97" s="61">
        <v>3.472222222222222E-3</v>
      </c>
      <c r="K97" s="62"/>
      <c r="L97" s="6"/>
      <c r="M97" s="6"/>
      <c r="N97" s="6"/>
    </row>
    <row r="98" spans="1:14" ht="37.799999999999997">
      <c r="A98" s="11"/>
      <c r="B98" s="124"/>
      <c r="C98" s="58" t="str">
        <f>master!C75</f>
        <v>VS Code上でGitを使う手順-5 【過去のcommitの確認】</v>
      </c>
      <c r="D98" s="105" t="s">
        <v>213</v>
      </c>
      <c r="E98" s="106"/>
      <c r="F98" s="107"/>
      <c r="G98" s="58" t="s">
        <v>422</v>
      </c>
      <c r="H98" s="59"/>
      <c r="I98" s="60" t="s">
        <v>24</v>
      </c>
      <c r="J98" s="61">
        <v>3.472222222222222E-3</v>
      </c>
      <c r="K98" s="62"/>
      <c r="L98" s="6"/>
      <c r="M98" s="6"/>
      <c r="N98" s="6"/>
    </row>
    <row r="99" spans="1:14" ht="63">
      <c r="A99" s="11"/>
      <c r="B99" s="125"/>
      <c r="C99" s="58" t="str">
        <f>master!C76</f>
        <v>VS Code上でGitを使う手順-6 【過去の状態に戻す】</v>
      </c>
      <c r="D99" s="105" t="s">
        <v>215</v>
      </c>
      <c r="E99" s="106"/>
      <c r="F99" s="107"/>
      <c r="G99" s="58" t="s">
        <v>424</v>
      </c>
      <c r="H99" s="59"/>
      <c r="I99" s="60" t="s">
        <v>24</v>
      </c>
      <c r="J99" s="61">
        <v>3.472222222222222E-3</v>
      </c>
      <c r="K99" s="62"/>
      <c r="L99" s="6"/>
      <c r="M99" s="6"/>
      <c r="N99" s="6"/>
    </row>
    <row r="100" spans="1:14" ht="214.2">
      <c r="A100" s="11"/>
      <c r="B100" s="87" t="str">
        <f>master!B67</f>
        <v>課題1の実施</v>
      </c>
      <c r="C100" s="58" t="str">
        <f>master!C67</f>
        <v>ここから各自で演習を始めましょう。</v>
      </c>
      <c r="D100" s="105" t="s">
        <v>208</v>
      </c>
      <c r="E100" s="106"/>
      <c r="F100" s="107"/>
      <c r="G100" s="58" t="s">
        <v>365</v>
      </c>
      <c r="H100" s="59"/>
      <c r="I100" s="60" t="s">
        <v>24</v>
      </c>
      <c r="J100" s="61" t="s">
        <v>433</v>
      </c>
      <c r="K100" s="62"/>
      <c r="L100" s="6"/>
      <c r="M100" s="6"/>
      <c r="N100" s="6"/>
    </row>
    <row r="101" spans="1:14" ht="89.4">
      <c r="A101" s="11"/>
      <c r="B101" s="89" t="str">
        <f>master!B78</f>
        <v>システム開発プロセスの導入</v>
      </c>
      <c r="C101" s="78" t="str">
        <f>master!C78</f>
        <v>講義の目的</v>
      </c>
      <c r="D101" s="114" t="s">
        <v>249</v>
      </c>
      <c r="E101" s="115"/>
      <c r="F101" s="116"/>
      <c r="G101" s="48" t="s">
        <v>369</v>
      </c>
      <c r="H101" s="12"/>
      <c r="I101" s="46" t="s">
        <v>24</v>
      </c>
      <c r="J101" s="44">
        <v>1.3888888888888889E-3</v>
      </c>
      <c r="K101" s="40"/>
      <c r="L101" s="6"/>
      <c r="M101" s="6"/>
      <c r="N101" s="6"/>
    </row>
    <row r="102" spans="1:14" ht="37.799999999999997">
      <c r="A102" s="11"/>
      <c r="B102" s="111" t="str">
        <f>master!B79</f>
        <v>システム開発におけるソフトウェア開発ライフサイクル</v>
      </c>
      <c r="C102" s="78" t="str">
        <f>master!C79</f>
        <v>ソフトウェア開発ライフサイクル</v>
      </c>
      <c r="D102" s="114" t="s">
        <v>250</v>
      </c>
      <c r="E102" s="115"/>
      <c r="F102" s="116"/>
      <c r="G102" s="48" t="s">
        <v>370</v>
      </c>
      <c r="H102" s="12"/>
      <c r="I102" s="46" t="s">
        <v>24</v>
      </c>
      <c r="J102" s="44">
        <v>1.3888888888888889E-3</v>
      </c>
      <c r="K102" s="40"/>
      <c r="L102" s="6"/>
      <c r="M102" s="6"/>
      <c r="N102" s="6"/>
    </row>
    <row r="103" spans="1:14" ht="277.2">
      <c r="A103" s="11"/>
      <c r="B103" s="112"/>
      <c r="C103" s="78" t="str">
        <f>master!C80</f>
        <v>ソフトウェア開発ライフサイクルの種類</v>
      </c>
      <c r="D103" s="114" t="s">
        <v>251</v>
      </c>
      <c r="E103" s="115"/>
      <c r="F103" s="116"/>
      <c r="G103" s="48" t="s">
        <v>371</v>
      </c>
      <c r="H103" s="12"/>
      <c r="I103" s="46" t="s">
        <v>24</v>
      </c>
      <c r="J103" s="44">
        <v>6.9444444444444441E-3</v>
      </c>
      <c r="K103" s="40"/>
      <c r="L103" s="6"/>
      <c r="M103" s="6"/>
      <c r="N103" s="6"/>
    </row>
    <row r="104" spans="1:14" ht="151.19999999999999">
      <c r="A104" s="11"/>
      <c r="B104" s="111" t="str">
        <f>master!B81</f>
        <v>TERASOLUNAとは</v>
      </c>
      <c r="C104" s="78" t="s">
        <v>227</v>
      </c>
      <c r="D104" s="114" t="s">
        <v>252</v>
      </c>
      <c r="E104" s="115"/>
      <c r="F104" s="116"/>
      <c r="G104" s="48" t="s">
        <v>372</v>
      </c>
      <c r="H104" s="12"/>
      <c r="I104" s="46" t="s">
        <v>24</v>
      </c>
      <c r="J104" s="44">
        <v>2.0833333333333333E-3</v>
      </c>
      <c r="K104" s="40"/>
      <c r="L104" s="6"/>
      <c r="M104" s="6"/>
      <c r="N104" s="6"/>
    </row>
    <row r="105" spans="1:14" ht="138.6">
      <c r="A105" s="11"/>
      <c r="B105" s="112"/>
      <c r="C105" s="78" t="s">
        <v>228</v>
      </c>
      <c r="D105" s="114" t="s">
        <v>253</v>
      </c>
      <c r="E105" s="115"/>
      <c r="F105" s="116"/>
      <c r="G105" s="48" t="s">
        <v>373</v>
      </c>
      <c r="H105" s="12"/>
      <c r="I105" s="46" t="s">
        <v>24</v>
      </c>
      <c r="J105" s="44">
        <v>2.0833333333333333E-3</v>
      </c>
      <c r="K105" s="40"/>
      <c r="L105" s="6"/>
      <c r="M105" s="6"/>
      <c r="N105" s="6"/>
    </row>
    <row r="106" spans="1:14" ht="189">
      <c r="A106" s="11"/>
      <c r="B106" s="111" t="str">
        <f>master!B83</f>
        <v>V字モデルとは</v>
      </c>
      <c r="C106" s="78" t="s">
        <v>231</v>
      </c>
      <c r="D106" s="114" t="s">
        <v>254</v>
      </c>
      <c r="E106" s="115"/>
      <c r="F106" s="116"/>
      <c r="G106" s="48" t="s">
        <v>374</v>
      </c>
      <c r="H106" s="12"/>
      <c r="I106" s="46" t="s">
        <v>24</v>
      </c>
      <c r="J106" s="44">
        <v>3.472222222222222E-3</v>
      </c>
      <c r="K106" s="40"/>
      <c r="L106" s="6"/>
      <c r="M106" s="6"/>
      <c r="N106" s="6"/>
    </row>
    <row r="107" spans="1:14" ht="100.8">
      <c r="A107" s="11"/>
      <c r="B107" s="113"/>
      <c r="C107" s="78" t="s">
        <v>229</v>
      </c>
      <c r="D107" s="114" t="s">
        <v>255</v>
      </c>
      <c r="E107" s="115"/>
      <c r="F107" s="116"/>
      <c r="G107" s="48" t="s">
        <v>375</v>
      </c>
      <c r="H107" s="12"/>
      <c r="I107" s="46" t="s">
        <v>24</v>
      </c>
      <c r="J107" s="44">
        <v>3.472222222222222E-3</v>
      </c>
      <c r="K107" s="40"/>
      <c r="L107" s="6"/>
      <c r="M107" s="6"/>
      <c r="N107" s="6"/>
    </row>
    <row r="108" spans="1:14" ht="113.4">
      <c r="A108" s="11"/>
      <c r="B108" s="113"/>
      <c r="C108" s="78" t="s">
        <v>233</v>
      </c>
      <c r="D108" s="114" t="s">
        <v>256</v>
      </c>
      <c r="E108" s="115"/>
      <c r="F108" s="116"/>
      <c r="G108" s="48" t="s">
        <v>376</v>
      </c>
      <c r="H108" s="12"/>
      <c r="I108" s="46" t="s">
        <v>24</v>
      </c>
      <c r="J108" s="44">
        <v>3.472222222222222E-3</v>
      </c>
      <c r="K108" s="40"/>
      <c r="L108" s="6"/>
      <c r="M108" s="6"/>
      <c r="N108" s="6"/>
    </row>
    <row r="109" spans="1:14" ht="302.39999999999998">
      <c r="A109" s="11"/>
      <c r="B109" s="113"/>
      <c r="C109" s="78" t="s">
        <v>235</v>
      </c>
      <c r="D109" s="114" t="s">
        <v>257</v>
      </c>
      <c r="E109" s="115"/>
      <c r="F109" s="116"/>
      <c r="G109" s="48" t="s">
        <v>377</v>
      </c>
      <c r="H109" s="12"/>
      <c r="I109" s="46" t="s">
        <v>24</v>
      </c>
      <c r="J109" s="44">
        <v>1.0416666666666666E-2</v>
      </c>
      <c r="K109" s="40"/>
      <c r="L109" s="6"/>
      <c r="M109" s="6"/>
      <c r="N109" s="6"/>
    </row>
    <row r="110" spans="1:14" ht="138.6">
      <c r="A110" s="11"/>
      <c r="B110" s="113"/>
      <c r="C110" s="78" t="s">
        <v>237</v>
      </c>
      <c r="D110" s="114" t="s">
        <v>258</v>
      </c>
      <c r="E110" s="115"/>
      <c r="F110" s="116"/>
      <c r="G110" s="48" t="s">
        <v>373</v>
      </c>
      <c r="H110" s="12"/>
      <c r="I110" s="46" t="s">
        <v>24</v>
      </c>
      <c r="J110" s="44">
        <v>6.9444444444444441E-3</v>
      </c>
      <c r="K110" s="40"/>
      <c r="L110" s="6"/>
      <c r="M110" s="6"/>
      <c r="N110" s="6"/>
    </row>
    <row r="111" spans="1:14" ht="88.2">
      <c r="A111" s="11"/>
      <c r="B111" s="113"/>
      <c r="C111" s="78" t="s">
        <v>239</v>
      </c>
      <c r="D111" s="114" t="s">
        <v>259</v>
      </c>
      <c r="E111" s="115"/>
      <c r="F111" s="116"/>
      <c r="G111" s="48" t="s">
        <v>369</v>
      </c>
      <c r="H111" s="12"/>
      <c r="I111" s="46" t="s">
        <v>24</v>
      </c>
      <c r="J111" s="44">
        <v>3.472222222222222E-3</v>
      </c>
      <c r="K111" s="40"/>
      <c r="L111" s="6"/>
      <c r="M111" s="6"/>
      <c r="N111" s="6"/>
    </row>
    <row r="112" spans="1:14" ht="75.599999999999994">
      <c r="A112" s="11"/>
      <c r="B112" s="113"/>
      <c r="C112" s="78" t="s">
        <v>241</v>
      </c>
      <c r="D112" s="114" t="s">
        <v>260</v>
      </c>
      <c r="E112" s="115"/>
      <c r="F112" s="116"/>
      <c r="G112" s="48" t="s">
        <v>378</v>
      </c>
      <c r="H112" s="12"/>
      <c r="I112" s="46" t="s">
        <v>24</v>
      </c>
      <c r="J112" s="44">
        <v>3.472222222222222E-3</v>
      </c>
      <c r="K112" s="40"/>
      <c r="L112" s="6"/>
      <c r="M112" s="6"/>
      <c r="N112" s="6"/>
    </row>
    <row r="113" spans="1:14" ht="113.4">
      <c r="A113" s="11"/>
      <c r="B113" s="113"/>
      <c r="C113" s="78" t="s">
        <v>243</v>
      </c>
      <c r="D113" s="114" t="s">
        <v>261</v>
      </c>
      <c r="E113" s="115"/>
      <c r="F113" s="116"/>
      <c r="G113" s="48" t="s">
        <v>376</v>
      </c>
      <c r="H113" s="12"/>
      <c r="I113" s="46" t="s">
        <v>24</v>
      </c>
      <c r="J113" s="44">
        <v>3.472222222222222E-3</v>
      </c>
      <c r="K113" s="40"/>
      <c r="L113" s="6"/>
      <c r="M113" s="6"/>
      <c r="N113" s="6"/>
    </row>
    <row r="114" spans="1:14" ht="126">
      <c r="A114" s="11"/>
      <c r="B114" s="113"/>
      <c r="C114" s="78" t="s">
        <v>262</v>
      </c>
      <c r="D114" s="114" t="s">
        <v>263</v>
      </c>
      <c r="E114" s="115"/>
      <c r="F114" s="116"/>
      <c r="G114" s="48" t="s">
        <v>379</v>
      </c>
      <c r="H114" s="12"/>
      <c r="I114" s="46" t="s">
        <v>24</v>
      </c>
      <c r="J114" s="44">
        <v>2.0833333333333333E-3</v>
      </c>
      <c r="K114" s="40"/>
      <c r="L114" s="6"/>
      <c r="M114" s="6"/>
      <c r="N114" s="6"/>
    </row>
    <row r="115" spans="1:14" ht="88.2">
      <c r="A115" s="11"/>
      <c r="B115" s="113"/>
      <c r="C115" s="78" t="s">
        <v>246</v>
      </c>
      <c r="D115" s="114" t="s">
        <v>264</v>
      </c>
      <c r="E115" s="115"/>
      <c r="F115" s="116"/>
      <c r="G115" s="48" t="s">
        <v>369</v>
      </c>
      <c r="H115" s="12"/>
      <c r="I115" s="46" t="s">
        <v>24</v>
      </c>
      <c r="J115" s="44">
        <v>2.0833333333333333E-3</v>
      </c>
      <c r="K115" s="40"/>
      <c r="L115" s="6"/>
      <c r="M115" s="6"/>
      <c r="N115" s="6"/>
    </row>
    <row r="116" spans="1:14" ht="138.6">
      <c r="A116" s="11"/>
      <c r="B116" s="113"/>
      <c r="C116" s="78" t="s">
        <v>247</v>
      </c>
      <c r="D116" s="114" t="s">
        <v>265</v>
      </c>
      <c r="E116" s="115"/>
      <c r="F116" s="116"/>
      <c r="G116" s="48" t="s">
        <v>373</v>
      </c>
      <c r="H116" s="12"/>
      <c r="I116" s="46" t="s">
        <v>24</v>
      </c>
      <c r="J116" s="44">
        <v>2.0833333333333333E-3</v>
      </c>
      <c r="K116" s="40"/>
      <c r="L116" s="6"/>
      <c r="M116" s="6"/>
      <c r="N116" s="6"/>
    </row>
    <row r="117" spans="1:14" ht="24" customHeight="1">
      <c r="A117" s="11"/>
      <c r="B117" s="112"/>
      <c r="C117" s="78" t="s">
        <v>248</v>
      </c>
      <c r="D117" s="114"/>
      <c r="E117" s="115"/>
      <c r="F117" s="116"/>
      <c r="G117" s="48" t="s">
        <v>380</v>
      </c>
      <c r="H117" s="12"/>
      <c r="I117" s="46" t="s">
        <v>24</v>
      </c>
      <c r="J117" s="44">
        <v>6.9444444444444447E-4</v>
      </c>
      <c r="K117" s="40"/>
      <c r="L117" s="6"/>
      <c r="M117" s="6"/>
      <c r="N117" s="6"/>
    </row>
    <row r="118" spans="1:14" ht="37.799999999999997">
      <c r="A118" s="11"/>
      <c r="B118" s="90" t="str">
        <f>master!B67</f>
        <v>課題1の実施</v>
      </c>
      <c r="C118" s="58" t="str">
        <f>master!C67</f>
        <v>ここから各自で演習を始めましょう。</v>
      </c>
      <c r="D118" s="105" t="s">
        <v>318</v>
      </c>
      <c r="E118" s="106"/>
      <c r="F118" s="107"/>
      <c r="G118" s="58" t="s">
        <v>43</v>
      </c>
      <c r="H118" s="59"/>
      <c r="I118" s="60" t="s">
        <v>24</v>
      </c>
      <c r="J118" s="61" t="s">
        <v>433</v>
      </c>
      <c r="K118" s="62"/>
      <c r="L118" s="6"/>
      <c r="M118" s="6"/>
      <c r="N118" s="6"/>
    </row>
    <row r="119" spans="1:14" ht="50.4">
      <c r="A119" s="11"/>
      <c r="B119" s="111" t="str">
        <f>master!B96</f>
        <v>単体テストとJunitの導入</v>
      </c>
      <c r="C119" s="78" t="str">
        <f>master!C96</f>
        <v>講義の目的</v>
      </c>
      <c r="D119" s="114" t="s">
        <v>294</v>
      </c>
      <c r="E119" s="115"/>
      <c r="F119" s="116"/>
      <c r="G119" s="48" t="s">
        <v>381</v>
      </c>
      <c r="H119" s="12"/>
      <c r="I119" s="46" t="s">
        <v>24</v>
      </c>
      <c r="J119" s="44">
        <v>6.9444444444444447E-4</v>
      </c>
      <c r="K119" s="40"/>
      <c r="L119" s="6"/>
      <c r="M119" s="6"/>
      <c r="N119" s="6"/>
    </row>
    <row r="120" spans="1:14" ht="25.2">
      <c r="A120" s="11"/>
      <c r="B120" s="113"/>
      <c r="C120" s="78" t="str">
        <f>master!C97</f>
        <v>TERASOLUNA 開発手順　 ※再掲</v>
      </c>
      <c r="D120" s="114"/>
      <c r="E120" s="115"/>
      <c r="F120" s="116"/>
      <c r="G120" s="48" t="s">
        <v>382</v>
      </c>
      <c r="H120" s="12"/>
      <c r="I120" s="46" t="s">
        <v>24</v>
      </c>
      <c r="J120" s="44">
        <v>6.9444444444444447E-4</v>
      </c>
      <c r="K120" s="40"/>
      <c r="L120" s="6"/>
      <c r="M120" s="6"/>
      <c r="N120" s="6"/>
    </row>
    <row r="121" spans="1:14" ht="25.2">
      <c r="A121" s="11"/>
      <c r="B121" s="112"/>
      <c r="C121" s="78" t="str">
        <f>master!C98</f>
        <v>V字モデル　 ※再掲</v>
      </c>
      <c r="D121" s="114" t="s">
        <v>295</v>
      </c>
      <c r="E121" s="115"/>
      <c r="F121" s="116"/>
      <c r="G121" s="48" t="s">
        <v>382</v>
      </c>
      <c r="H121" s="12"/>
      <c r="I121" s="46" t="s">
        <v>24</v>
      </c>
      <c r="J121" s="44">
        <v>6.9444444444444447E-4</v>
      </c>
      <c r="K121" s="40"/>
      <c r="L121" s="6"/>
      <c r="M121" s="6"/>
      <c r="N121" s="6"/>
    </row>
    <row r="122" spans="1:14" ht="50.4">
      <c r="A122" s="11"/>
      <c r="B122" s="111" t="str">
        <f>master!B99</f>
        <v>テストとは</v>
      </c>
      <c r="C122" s="78" t="str">
        <f>master!C99</f>
        <v>テストとは</v>
      </c>
      <c r="D122" s="114" t="s">
        <v>296</v>
      </c>
      <c r="E122" s="115"/>
      <c r="F122" s="116"/>
      <c r="G122" s="48" t="s">
        <v>381</v>
      </c>
      <c r="H122" s="12"/>
      <c r="I122" s="46" t="s">
        <v>24</v>
      </c>
      <c r="J122" s="44">
        <v>2.0833333333333333E-3</v>
      </c>
      <c r="K122" s="40"/>
      <c r="L122" s="6"/>
      <c r="M122" s="6"/>
      <c r="N122" s="6"/>
    </row>
    <row r="123" spans="1:14" ht="315">
      <c r="A123" s="11"/>
      <c r="B123" s="113"/>
      <c r="C123" s="78" t="str">
        <f>master!C100</f>
        <v>テストの目的</v>
      </c>
      <c r="D123" s="114" t="s">
        <v>297</v>
      </c>
      <c r="E123" s="115"/>
      <c r="F123" s="116"/>
      <c r="G123" s="48" t="s">
        <v>383</v>
      </c>
      <c r="H123" s="12"/>
      <c r="I123" s="46" t="s">
        <v>24</v>
      </c>
      <c r="J123" s="44">
        <v>3.472222222222222E-3</v>
      </c>
      <c r="K123" s="40"/>
      <c r="L123" s="6"/>
      <c r="M123" s="6"/>
      <c r="N123" s="6"/>
    </row>
    <row r="124" spans="1:14" ht="25.2">
      <c r="A124" s="11"/>
      <c r="B124" s="113"/>
      <c r="C124" s="78" t="str">
        <f>master!C101</f>
        <v>テストを実施しなかった場合…</v>
      </c>
      <c r="D124" s="114" t="s">
        <v>298</v>
      </c>
      <c r="E124" s="115"/>
      <c r="F124" s="116"/>
      <c r="G124" s="48" t="s">
        <v>382</v>
      </c>
      <c r="H124" s="12"/>
      <c r="I124" s="46" t="s">
        <v>24</v>
      </c>
      <c r="J124" s="44">
        <v>2.0833333333333333E-3</v>
      </c>
      <c r="K124" s="40"/>
      <c r="L124" s="6"/>
      <c r="M124" s="6"/>
      <c r="N124" s="6"/>
    </row>
    <row r="125" spans="1:14" ht="100.8">
      <c r="A125" s="11"/>
      <c r="B125" s="112"/>
      <c r="C125" s="78" t="str">
        <f>master!C102</f>
        <v>コラム：テストとデバッグ</v>
      </c>
      <c r="D125" s="114" t="s">
        <v>299</v>
      </c>
      <c r="E125" s="115"/>
      <c r="F125" s="116"/>
      <c r="G125" s="48" t="s">
        <v>384</v>
      </c>
      <c r="H125" s="12"/>
      <c r="I125" s="46" t="s">
        <v>24</v>
      </c>
      <c r="J125" s="44">
        <v>2.0833333333333333E-3</v>
      </c>
      <c r="K125" s="40"/>
      <c r="L125" s="6"/>
      <c r="M125" s="6"/>
      <c r="N125" s="6"/>
    </row>
    <row r="126" spans="1:14" ht="50.4">
      <c r="A126" s="11"/>
      <c r="B126" s="111" t="str">
        <f>master!B103</f>
        <v>単体テストとは</v>
      </c>
      <c r="C126" s="78" t="str">
        <f>master!C103</f>
        <v>単体テスト（Unit Test）とは</v>
      </c>
      <c r="D126" s="114" t="s">
        <v>300</v>
      </c>
      <c r="E126" s="115"/>
      <c r="F126" s="116"/>
      <c r="G126" s="48" t="s">
        <v>381</v>
      </c>
      <c r="H126" s="12"/>
      <c r="I126" s="46" t="s">
        <v>24</v>
      </c>
      <c r="J126" s="44">
        <v>6.9444444444444447E-4</v>
      </c>
      <c r="K126" s="40"/>
      <c r="L126" s="6"/>
      <c r="M126" s="6"/>
      <c r="N126" s="6"/>
    </row>
    <row r="127" spans="1:14" ht="25.2">
      <c r="A127" s="11"/>
      <c r="B127" s="113"/>
      <c r="C127" s="78" t="str">
        <f>master!C104</f>
        <v xml:space="preserve">V字モデル　– 製造/単体テスト –　※再掲 </v>
      </c>
      <c r="D127" s="114"/>
      <c r="E127" s="115"/>
      <c r="F127" s="116"/>
      <c r="G127" s="48" t="s">
        <v>382</v>
      </c>
      <c r="H127" s="12"/>
      <c r="I127" s="46" t="s">
        <v>24</v>
      </c>
      <c r="J127" s="44">
        <v>6.9444444444444447E-4</v>
      </c>
      <c r="K127" s="40"/>
      <c r="L127" s="6"/>
      <c r="M127" s="6"/>
      <c r="N127" s="6"/>
    </row>
    <row r="128" spans="1:14" ht="302.39999999999998">
      <c r="A128" s="11"/>
      <c r="B128" s="113"/>
      <c r="C128" s="78" t="str">
        <f>master!C105</f>
        <v>テスト設計の流れ</v>
      </c>
      <c r="D128" s="114" t="s">
        <v>301</v>
      </c>
      <c r="E128" s="115"/>
      <c r="F128" s="116"/>
      <c r="G128" s="48" t="s">
        <v>385</v>
      </c>
      <c r="H128" s="12"/>
      <c r="I128" s="46" t="s">
        <v>24</v>
      </c>
      <c r="J128" s="44">
        <v>3.472222222222222E-3</v>
      </c>
      <c r="K128" s="40"/>
      <c r="L128" s="6"/>
      <c r="M128" s="6"/>
      <c r="N128" s="6"/>
    </row>
    <row r="129" spans="1:14" ht="37.799999999999997">
      <c r="A129" s="11"/>
      <c r="B129" s="113"/>
      <c r="C129" s="78" t="str">
        <f>master!C106</f>
        <v>テスト設計の例</v>
      </c>
      <c r="D129" s="114" t="s">
        <v>302</v>
      </c>
      <c r="E129" s="115"/>
      <c r="F129" s="116"/>
      <c r="G129" s="48" t="s">
        <v>386</v>
      </c>
      <c r="H129" s="12"/>
      <c r="I129" s="46" t="s">
        <v>24</v>
      </c>
      <c r="J129" s="44">
        <v>3.472222222222222E-3</v>
      </c>
      <c r="K129" s="40"/>
      <c r="L129" s="6"/>
      <c r="M129" s="6"/>
      <c r="N129" s="6"/>
    </row>
    <row r="130" spans="1:14" ht="75.599999999999994">
      <c r="A130" s="11"/>
      <c r="B130" s="113"/>
      <c r="C130" s="78" t="str">
        <f>master!C107</f>
        <v>単体テスト（Unit Test）とは</v>
      </c>
      <c r="D130" s="114" t="s">
        <v>303</v>
      </c>
      <c r="E130" s="115"/>
      <c r="F130" s="116"/>
      <c r="G130" s="48" t="s">
        <v>387</v>
      </c>
      <c r="H130" s="12"/>
      <c r="I130" s="46" t="s">
        <v>24</v>
      </c>
      <c r="J130" s="44">
        <v>6.9444444444444447E-4</v>
      </c>
      <c r="K130" s="40"/>
      <c r="L130" s="6"/>
      <c r="M130" s="6"/>
      <c r="N130" s="6"/>
    </row>
    <row r="131" spans="1:14" ht="113.4">
      <c r="A131" s="11"/>
      <c r="B131" s="113"/>
      <c r="C131" s="78" t="str">
        <f>master!C108</f>
        <v>テスト技法 – ブラックボックステスト技法 –</v>
      </c>
      <c r="D131" s="114" t="s">
        <v>304</v>
      </c>
      <c r="E131" s="115"/>
      <c r="F131" s="116"/>
      <c r="G131" s="48" t="s">
        <v>388</v>
      </c>
      <c r="H131" s="12"/>
      <c r="I131" s="46" t="s">
        <v>24</v>
      </c>
      <c r="J131" s="44">
        <v>2.0833333333333333E-3</v>
      </c>
      <c r="K131" s="40"/>
      <c r="L131" s="6"/>
      <c r="M131" s="6"/>
      <c r="N131" s="6"/>
    </row>
    <row r="132" spans="1:14" ht="201.6">
      <c r="A132" s="11"/>
      <c r="B132" s="113"/>
      <c r="C132" s="78" t="str">
        <f>master!C109</f>
        <v>ブラックボックステスト：同値分割法</v>
      </c>
      <c r="D132" s="114" t="s">
        <v>307</v>
      </c>
      <c r="E132" s="115"/>
      <c r="F132" s="116"/>
      <c r="G132" s="48" t="s">
        <v>389</v>
      </c>
      <c r="H132" s="12"/>
      <c r="I132" s="46" t="s">
        <v>24</v>
      </c>
      <c r="J132" s="44">
        <v>3.472222222222222E-3</v>
      </c>
      <c r="K132" s="40"/>
      <c r="L132" s="6"/>
      <c r="M132" s="6"/>
      <c r="N132" s="6"/>
    </row>
    <row r="133" spans="1:14" ht="113.4">
      <c r="A133" s="11"/>
      <c r="B133" s="113"/>
      <c r="C133" s="78" t="str">
        <f>master!C110</f>
        <v>ブラックボックステスト：境界値分析</v>
      </c>
      <c r="D133" s="114" t="s">
        <v>306</v>
      </c>
      <c r="E133" s="115"/>
      <c r="F133" s="116"/>
      <c r="G133" s="48" t="s">
        <v>388</v>
      </c>
      <c r="H133" s="12"/>
      <c r="I133" s="46" t="s">
        <v>24</v>
      </c>
      <c r="J133" s="44">
        <v>6.9444444444444441E-3</v>
      </c>
      <c r="K133" s="40"/>
      <c r="L133" s="6"/>
      <c r="M133" s="6"/>
      <c r="N133" s="6"/>
    </row>
    <row r="134" spans="1:14" ht="176.4">
      <c r="A134" s="11"/>
      <c r="B134" s="113"/>
      <c r="C134" s="78" t="str">
        <f>master!C111</f>
        <v>ブラックボックステスト：ディシジョンテーブルテスト</v>
      </c>
      <c r="D134" s="114" t="s">
        <v>305</v>
      </c>
      <c r="E134" s="115"/>
      <c r="F134" s="116"/>
      <c r="G134" s="48" t="s">
        <v>390</v>
      </c>
      <c r="H134" s="12"/>
      <c r="I134" s="46" t="s">
        <v>24</v>
      </c>
      <c r="J134" s="44">
        <v>3.472222222222222E-3</v>
      </c>
      <c r="K134" s="40"/>
      <c r="L134" s="6"/>
      <c r="M134" s="6"/>
      <c r="N134" s="6"/>
    </row>
    <row r="135" spans="1:14" ht="37.799999999999997">
      <c r="A135" s="11"/>
      <c r="B135" s="113"/>
      <c r="C135" s="78" t="str">
        <f>master!C112</f>
        <v>ブラックボックステスト：状態遷移テスト</v>
      </c>
      <c r="D135" s="114" t="s">
        <v>308</v>
      </c>
      <c r="E135" s="115"/>
      <c r="F135" s="116"/>
      <c r="G135" s="48" t="s">
        <v>386</v>
      </c>
      <c r="H135" s="12"/>
      <c r="I135" s="46" t="s">
        <v>24</v>
      </c>
      <c r="J135" s="44">
        <v>3.472222222222222E-3</v>
      </c>
      <c r="K135" s="40"/>
      <c r="L135" s="6"/>
      <c r="M135" s="6"/>
      <c r="N135" s="6"/>
    </row>
    <row r="136" spans="1:14" ht="88.2">
      <c r="A136" s="11"/>
      <c r="B136" s="113"/>
      <c r="C136" s="78" t="str">
        <f>master!C113</f>
        <v>テスト技法 – ホワイトボックステスト技法 –</v>
      </c>
      <c r="D136" s="114" t="s">
        <v>309</v>
      </c>
      <c r="E136" s="115"/>
      <c r="F136" s="116"/>
      <c r="G136" s="48" t="s">
        <v>391</v>
      </c>
      <c r="H136" s="12"/>
      <c r="I136" s="46" t="s">
        <v>24</v>
      </c>
      <c r="J136" s="44">
        <v>2.0833333333333333E-3</v>
      </c>
      <c r="K136" s="40"/>
      <c r="L136" s="6"/>
      <c r="M136" s="6"/>
      <c r="N136" s="6"/>
    </row>
    <row r="137" spans="1:14" ht="151.19999999999999">
      <c r="A137" s="11"/>
      <c r="B137" s="113"/>
      <c r="C137" s="78" t="str">
        <f>master!C114</f>
        <v>ホワイトボックステストの評価基準</v>
      </c>
      <c r="D137" s="114" t="s">
        <v>310</v>
      </c>
      <c r="E137" s="115"/>
      <c r="F137" s="116"/>
      <c r="G137" s="48" t="s">
        <v>392</v>
      </c>
      <c r="H137" s="12"/>
      <c r="I137" s="46" t="s">
        <v>24</v>
      </c>
      <c r="J137" s="44">
        <v>3.472222222222222E-3</v>
      </c>
      <c r="K137" s="40"/>
      <c r="L137" s="6"/>
      <c r="M137" s="6"/>
      <c r="N137" s="6"/>
    </row>
    <row r="138" spans="1:14" ht="37.799999999999997">
      <c r="A138" s="11"/>
      <c r="B138" s="113"/>
      <c r="C138" s="78" t="str">
        <f>master!C115</f>
        <v>ホワイトボックステスト：ステートメントテスト</v>
      </c>
      <c r="D138" s="114" t="s">
        <v>311</v>
      </c>
      <c r="E138" s="115"/>
      <c r="F138" s="116"/>
      <c r="G138" s="48" t="s">
        <v>386</v>
      </c>
      <c r="H138" s="12"/>
      <c r="I138" s="46" t="s">
        <v>24</v>
      </c>
      <c r="J138" s="44">
        <v>3.472222222222222E-3</v>
      </c>
      <c r="K138" s="40"/>
      <c r="L138" s="6"/>
      <c r="M138" s="6"/>
      <c r="N138" s="6"/>
    </row>
    <row r="139" spans="1:14" ht="37.799999999999997">
      <c r="A139" s="11"/>
      <c r="B139" s="113"/>
      <c r="C139" s="78" t="str">
        <f>master!C116</f>
        <v>ホワイトボックステスト：ブランチテスト</v>
      </c>
      <c r="D139" s="114" t="s">
        <v>312</v>
      </c>
      <c r="E139" s="115"/>
      <c r="F139" s="116"/>
      <c r="G139" s="48" t="s">
        <v>386</v>
      </c>
      <c r="H139" s="12"/>
      <c r="I139" s="46" t="s">
        <v>24</v>
      </c>
      <c r="J139" s="44">
        <v>3.472222222222222E-3</v>
      </c>
      <c r="K139" s="40"/>
      <c r="L139" s="6"/>
      <c r="M139" s="6"/>
      <c r="N139" s="6"/>
    </row>
    <row r="140" spans="1:14" ht="37.799999999999997">
      <c r="A140" s="11"/>
      <c r="B140" s="113"/>
      <c r="C140" s="78" t="str">
        <f>master!C117</f>
        <v>ホワイトボックステスト：コンディションテスト</v>
      </c>
      <c r="D140" s="114" t="s">
        <v>313</v>
      </c>
      <c r="E140" s="115"/>
      <c r="F140" s="116"/>
      <c r="G140" s="48" t="s">
        <v>386</v>
      </c>
      <c r="H140" s="12"/>
      <c r="I140" s="46" t="s">
        <v>24</v>
      </c>
      <c r="J140" s="44">
        <v>3.472222222222222E-3</v>
      </c>
      <c r="K140" s="40"/>
      <c r="L140" s="6"/>
      <c r="M140" s="6"/>
      <c r="N140" s="6"/>
    </row>
    <row r="141" spans="1:14" ht="37.799999999999997">
      <c r="A141" s="11"/>
      <c r="B141" s="113"/>
      <c r="C141" s="78" t="str">
        <f>master!C118</f>
        <v>テスト技法 – 経験ベースの技法 –</v>
      </c>
      <c r="D141" s="114" t="s">
        <v>314</v>
      </c>
      <c r="E141" s="115"/>
      <c r="F141" s="116"/>
      <c r="G141" s="48" t="s">
        <v>386</v>
      </c>
      <c r="H141" s="12"/>
      <c r="I141" s="46" t="s">
        <v>24</v>
      </c>
      <c r="J141" s="44">
        <v>3.472222222222222E-3</v>
      </c>
      <c r="K141" s="40"/>
      <c r="L141" s="6"/>
      <c r="M141" s="6"/>
      <c r="N141" s="6"/>
    </row>
    <row r="142" spans="1:14" ht="100.8">
      <c r="A142" s="11"/>
      <c r="B142" s="113"/>
      <c r="C142" s="78" t="str">
        <f>master!C119</f>
        <v>スタブとドライバ</v>
      </c>
      <c r="D142" s="114" t="s">
        <v>315</v>
      </c>
      <c r="E142" s="115"/>
      <c r="F142" s="116"/>
      <c r="G142" s="48" t="s">
        <v>384</v>
      </c>
      <c r="H142" s="12"/>
      <c r="I142" s="46" t="s">
        <v>24</v>
      </c>
      <c r="J142" s="44">
        <v>3.472222222222222E-3</v>
      </c>
      <c r="K142" s="40"/>
      <c r="L142" s="6"/>
      <c r="M142" s="6"/>
      <c r="N142" s="6"/>
    </row>
    <row r="143" spans="1:14" ht="75.599999999999994">
      <c r="A143" s="11"/>
      <c r="B143" s="112"/>
      <c r="C143" s="78" t="str">
        <f>master!C120</f>
        <v>スタブとモック</v>
      </c>
      <c r="D143" s="114" t="s">
        <v>316</v>
      </c>
      <c r="E143" s="115"/>
      <c r="F143" s="116"/>
      <c r="G143" s="48" t="s">
        <v>387</v>
      </c>
      <c r="H143" s="12"/>
      <c r="I143" s="46" t="s">
        <v>24</v>
      </c>
      <c r="J143" s="44">
        <v>3.472222222222222E-3</v>
      </c>
      <c r="K143" s="40"/>
      <c r="L143" s="6"/>
      <c r="M143" s="6"/>
      <c r="N143" s="6"/>
    </row>
    <row r="144" spans="1:14" ht="37.799999999999997">
      <c r="A144" s="11"/>
      <c r="B144" s="111" t="str">
        <f>master!B121</f>
        <v>JUnit</v>
      </c>
      <c r="C144" s="78" t="str">
        <f>master!C121</f>
        <v>JUnitとは</v>
      </c>
      <c r="D144" s="114" t="s">
        <v>317</v>
      </c>
      <c r="E144" s="115"/>
      <c r="F144" s="116"/>
      <c r="G144" s="48" t="s">
        <v>386</v>
      </c>
      <c r="H144" s="12"/>
      <c r="I144" s="46" t="s">
        <v>24</v>
      </c>
      <c r="J144" s="44">
        <v>1.3888888888888889E-3</v>
      </c>
      <c r="K144" s="40"/>
      <c r="L144" s="6"/>
      <c r="M144" s="6"/>
      <c r="N144" s="6"/>
    </row>
    <row r="145" spans="1:14" ht="25.2">
      <c r="A145" s="11"/>
      <c r="B145" s="112"/>
      <c r="C145" s="78" t="str">
        <f>master!C122</f>
        <v>参考文献</v>
      </c>
      <c r="D145" s="114"/>
      <c r="E145" s="115"/>
      <c r="F145" s="116"/>
      <c r="G145" s="48" t="s">
        <v>382</v>
      </c>
      <c r="H145" s="12"/>
      <c r="I145" s="46" t="s">
        <v>24</v>
      </c>
      <c r="J145" s="44">
        <v>6.9444444444444447E-4</v>
      </c>
      <c r="K145" s="40"/>
      <c r="L145" s="6"/>
      <c r="M145" s="6"/>
      <c r="N145" s="6"/>
    </row>
    <row r="146" spans="1:14" ht="37.799999999999997">
      <c r="A146" s="11"/>
      <c r="B146" s="90" t="str">
        <f>master!B67</f>
        <v>課題1の実施</v>
      </c>
      <c r="C146" s="58" t="str">
        <f>master!C67</f>
        <v>ここから各自で演習を始めましょう。</v>
      </c>
      <c r="D146" s="105" t="s">
        <v>318</v>
      </c>
      <c r="E146" s="106"/>
      <c r="F146" s="107"/>
      <c r="G146" s="58" t="s">
        <v>43</v>
      </c>
      <c r="H146" s="59"/>
      <c r="I146" s="60" t="s">
        <v>24</v>
      </c>
      <c r="J146" s="61" t="s">
        <v>433</v>
      </c>
      <c r="K146" s="62"/>
      <c r="L146" s="6"/>
      <c r="M146" s="6"/>
      <c r="N146" s="6"/>
    </row>
    <row r="147" spans="1:14" ht="25.2">
      <c r="A147" s="11"/>
      <c r="B147" s="108" t="str">
        <f>master!B124</f>
        <v>課題2の導入</v>
      </c>
      <c r="C147" s="58" t="str">
        <f>master!C124</f>
        <v>演習課題の概要</v>
      </c>
      <c r="D147" s="105" t="s">
        <v>334</v>
      </c>
      <c r="E147" s="106"/>
      <c r="F147" s="107"/>
      <c r="G147" s="58" t="s">
        <v>393</v>
      </c>
      <c r="H147" s="59"/>
      <c r="I147" s="60" t="s">
        <v>24</v>
      </c>
      <c r="J147" s="61">
        <v>6.9444444444444447E-4</v>
      </c>
      <c r="K147" s="62"/>
      <c r="L147" s="6"/>
      <c r="M147" s="6"/>
      <c r="N147" s="6"/>
    </row>
    <row r="148" spans="1:14" ht="138.6">
      <c r="A148" s="11"/>
      <c r="B148" s="110"/>
      <c r="C148" s="58" t="str">
        <f>master!C125</f>
        <v>[構造理解] Webアプリケーションで必要なもの  ※再掲</v>
      </c>
      <c r="D148" s="105" t="s">
        <v>335</v>
      </c>
      <c r="E148" s="106"/>
      <c r="F148" s="107"/>
      <c r="G148" s="58" t="s">
        <v>394</v>
      </c>
      <c r="H148" s="59"/>
      <c r="I148" s="60" t="s">
        <v>24</v>
      </c>
      <c r="J148" s="61">
        <v>2.0833333333333333E-3</v>
      </c>
      <c r="K148" s="62"/>
      <c r="L148" s="6"/>
      <c r="M148" s="6"/>
      <c r="N148" s="6"/>
    </row>
    <row r="149" spans="1:14" ht="50.4">
      <c r="A149" s="11"/>
      <c r="B149" s="110"/>
      <c r="C149" s="58" t="str">
        <f>master!C126</f>
        <v>テストクラスを作成する単位</v>
      </c>
      <c r="D149" s="105" t="s">
        <v>336</v>
      </c>
      <c r="E149" s="106"/>
      <c r="F149" s="107"/>
      <c r="G149" s="58" t="s">
        <v>395</v>
      </c>
      <c r="H149" s="59"/>
      <c r="I149" s="60" t="s">
        <v>24</v>
      </c>
      <c r="J149" s="61">
        <v>2.0833333333333333E-3</v>
      </c>
      <c r="K149" s="62"/>
      <c r="L149" s="6"/>
      <c r="M149" s="6"/>
      <c r="N149" s="6"/>
    </row>
    <row r="150" spans="1:14" ht="113.4">
      <c r="A150" s="11"/>
      <c r="B150" s="109"/>
      <c r="C150" s="58" t="str">
        <f>master!C127</f>
        <v>JUnitで単体テスト</v>
      </c>
      <c r="D150" s="105" t="s">
        <v>337</v>
      </c>
      <c r="E150" s="106"/>
      <c r="F150" s="107"/>
      <c r="G150" s="58" t="s">
        <v>396</v>
      </c>
      <c r="H150" s="59"/>
      <c r="I150" s="60" t="s">
        <v>24</v>
      </c>
      <c r="J150" s="61">
        <v>3.472222222222222E-3</v>
      </c>
      <c r="K150" s="62"/>
      <c r="L150" s="6"/>
      <c r="M150" s="6"/>
      <c r="N150" s="6"/>
    </row>
    <row r="151" spans="1:14" ht="25.2">
      <c r="A151" s="11"/>
      <c r="B151" s="108" t="str">
        <f>master!B128</f>
        <v>ハンズオン</v>
      </c>
      <c r="C151" s="58" t="str">
        <f>master!C128</f>
        <v>バイブコーディングで単体テスト – はじめに</v>
      </c>
      <c r="D151" s="105" t="s">
        <v>338</v>
      </c>
      <c r="E151" s="106"/>
      <c r="F151" s="107"/>
      <c r="G151" s="58" t="s">
        <v>393</v>
      </c>
      <c r="H151" s="59"/>
      <c r="I151" s="60" t="s">
        <v>24</v>
      </c>
      <c r="J151" s="61">
        <v>6.9444444444444447E-4</v>
      </c>
      <c r="K151" s="62"/>
      <c r="L151" s="6"/>
      <c r="M151" s="6"/>
      <c r="N151" s="6"/>
    </row>
    <row r="152" spans="1:14" ht="50.4">
      <c r="A152" s="11"/>
      <c r="B152" s="110"/>
      <c r="C152" s="58" t="str">
        <f>master!C129</f>
        <v>バイブコーディング単体テスト①テスト項目表を作る</v>
      </c>
      <c r="D152" s="105" t="s">
        <v>339</v>
      </c>
      <c r="E152" s="106"/>
      <c r="F152" s="107"/>
      <c r="G152" s="58" t="s">
        <v>395</v>
      </c>
      <c r="H152" s="59"/>
      <c r="I152" s="60" t="s">
        <v>24</v>
      </c>
      <c r="J152" s="61">
        <v>3.472222222222222E-3</v>
      </c>
      <c r="K152" s="62"/>
      <c r="L152" s="6"/>
      <c r="M152" s="6"/>
      <c r="N152" s="6"/>
    </row>
    <row r="153" spans="1:14" ht="88.2">
      <c r="A153" s="11"/>
      <c r="B153" s="110"/>
      <c r="C153" s="58"/>
      <c r="D153" s="105" t="s">
        <v>193</v>
      </c>
      <c r="E153" s="106"/>
      <c r="F153" s="107"/>
      <c r="G153" s="58" t="s">
        <v>397</v>
      </c>
      <c r="H153" s="59"/>
      <c r="I153" s="60" t="s">
        <v>24</v>
      </c>
      <c r="J153" s="61">
        <v>6.9444444444444441E-3</v>
      </c>
      <c r="K153" s="62"/>
      <c r="L153" s="6"/>
      <c r="M153" s="6"/>
      <c r="N153" s="6"/>
    </row>
    <row r="154" spans="1:14" ht="50.4">
      <c r="A154" s="11"/>
      <c r="B154" s="110"/>
      <c r="C154" s="76" t="str">
        <f>master!C130</f>
        <v>バイブコーディング単体テスト②Repositoryのテストを作る</v>
      </c>
      <c r="D154" s="105" t="s">
        <v>340</v>
      </c>
      <c r="E154" s="106"/>
      <c r="F154" s="107"/>
      <c r="G154" s="58" t="s">
        <v>395</v>
      </c>
      <c r="H154" s="59"/>
      <c r="I154" s="60" t="s">
        <v>24</v>
      </c>
      <c r="J154" s="61">
        <v>3.472222222222222E-3</v>
      </c>
      <c r="K154" s="62"/>
      <c r="L154" s="6"/>
      <c r="M154" s="6"/>
      <c r="N154" s="6"/>
    </row>
    <row r="155" spans="1:14" ht="88.2">
      <c r="A155" s="11"/>
      <c r="B155" s="110"/>
      <c r="C155" s="77"/>
      <c r="D155" s="105" t="s">
        <v>193</v>
      </c>
      <c r="E155" s="106"/>
      <c r="F155" s="107"/>
      <c r="G155" s="58" t="s">
        <v>397</v>
      </c>
      <c r="H155" s="59"/>
      <c r="I155" s="60" t="s">
        <v>24</v>
      </c>
      <c r="J155" s="61">
        <v>6.9444444444444441E-3</v>
      </c>
      <c r="K155" s="62"/>
      <c r="L155" s="6"/>
      <c r="M155" s="6"/>
      <c r="N155" s="6"/>
    </row>
    <row r="156" spans="1:14" ht="138.6">
      <c r="A156" s="11"/>
      <c r="B156" s="110"/>
      <c r="C156" s="58" t="str">
        <f>master!C131</f>
        <v>[解説] Repositoryのテストクラス（抜粋）</v>
      </c>
      <c r="D156" s="105" t="s">
        <v>342</v>
      </c>
      <c r="E156" s="106"/>
      <c r="F156" s="107"/>
      <c r="G156" s="58" t="s">
        <v>394</v>
      </c>
      <c r="H156" s="59"/>
      <c r="I156" s="60" t="s">
        <v>24</v>
      </c>
      <c r="J156" s="61">
        <v>6.9444444444444441E-3</v>
      </c>
      <c r="K156" s="62"/>
      <c r="L156" s="6"/>
      <c r="M156" s="6"/>
      <c r="N156" s="6"/>
    </row>
    <row r="157" spans="1:14" ht="50.4">
      <c r="A157" s="11"/>
      <c r="B157" s="110"/>
      <c r="C157" s="76" t="str">
        <f>master!C132</f>
        <v>バイブコーディング単体テスト③Serviceのテストを作る</v>
      </c>
      <c r="D157" s="105" t="s">
        <v>340</v>
      </c>
      <c r="E157" s="106"/>
      <c r="F157" s="107"/>
      <c r="G157" s="58" t="s">
        <v>395</v>
      </c>
      <c r="H157" s="59"/>
      <c r="I157" s="60" t="s">
        <v>24</v>
      </c>
      <c r="J157" s="61">
        <v>3.472222222222222E-3</v>
      </c>
      <c r="K157" s="62"/>
      <c r="L157" s="6"/>
      <c r="M157" s="6"/>
      <c r="N157" s="6"/>
    </row>
    <row r="158" spans="1:14" ht="88.2">
      <c r="A158" s="11"/>
      <c r="B158" s="110"/>
      <c r="C158" s="77"/>
      <c r="D158" s="105" t="s">
        <v>193</v>
      </c>
      <c r="E158" s="106"/>
      <c r="F158" s="107"/>
      <c r="G158" s="58" t="s">
        <v>397</v>
      </c>
      <c r="H158" s="59"/>
      <c r="I158" s="60" t="s">
        <v>24</v>
      </c>
      <c r="J158" s="61">
        <v>6.9444444444444441E-3</v>
      </c>
      <c r="K158" s="62"/>
      <c r="L158" s="6"/>
      <c r="M158" s="6"/>
      <c r="N158" s="6"/>
    </row>
    <row r="159" spans="1:14" ht="138.6">
      <c r="A159" s="11"/>
      <c r="B159" s="110"/>
      <c r="C159" s="58" t="str">
        <f>master!C133</f>
        <v>[解説] Serviceのテストクラス（抜粋）</v>
      </c>
      <c r="D159" s="105" t="s">
        <v>341</v>
      </c>
      <c r="E159" s="106"/>
      <c r="F159" s="107"/>
      <c r="G159" s="58" t="s">
        <v>394</v>
      </c>
      <c r="H159" s="59"/>
      <c r="I159" s="60" t="s">
        <v>24</v>
      </c>
      <c r="J159" s="61">
        <v>6.9444444444444441E-3</v>
      </c>
      <c r="K159" s="62"/>
      <c r="L159" s="6"/>
      <c r="M159" s="6"/>
      <c r="N159" s="6"/>
    </row>
    <row r="160" spans="1:14" ht="50.4">
      <c r="A160" s="11"/>
      <c r="B160" s="110"/>
      <c r="C160" s="76" t="str">
        <f>master!C134</f>
        <v>バイブコーディング単体テスト④Controllerのテストを作る</v>
      </c>
      <c r="D160" s="105" t="s">
        <v>340</v>
      </c>
      <c r="E160" s="106"/>
      <c r="F160" s="107"/>
      <c r="G160" s="58" t="s">
        <v>395</v>
      </c>
      <c r="H160" s="59"/>
      <c r="I160" s="60" t="s">
        <v>24</v>
      </c>
      <c r="J160" s="61">
        <v>3.472222222222222E-3</v>
      </c>
      <c r="K160" s="62"/>
      <c r="L160" s="6"/>
      <c r="M160" s="6"/>
      <c r="N160" s="6"/>
    </row>
    <row r="161" spans="1:14" ht="88.2">
      <c r="A161" s="11"/>
      <c r="B161" s="110"/>
      <c r="C161" s="77"/>
      <c r="D161" s="105" t="s">
        <v>193</v>
      </c>
      <c r="E161" s="106"/>
      <c r="F161" s="107"/>
      <c r="G161" s="58" t="s">
        <v>397</v>
      </c>
      <c r="H161" s="59"/>
      <c r="I161" s="60" t="s">
        <v>24</v>
      </c>
      <c r="J161" s="61">
        <v>6.9444444444444441E-3</v>
      </c>
      <c r="K161" s="62"/>
      <c r="L161" s="6"/>
      <c r="M161" s="6"/>
      <c r="N161" s="6"/>
    </row>
    <row r="162" spans="1:14" ht="163.80000000000001">
      <c r="A162" s="11"/>
      <c r="B162" s="109"/>
      <c r="C162" s="58" t="str">
        <f>master!C135</f>
        <v>[解説] Controllerのテストクラス（抜粋）</v>
      </c>
      <c r="D162" s="105" t="s">
        <v>343</v>
      </c>
      <c r="E162" s="106"/>
      <c r="F162" s="107"/>
      <c r="G162" s="58" t="s">
        <v>398</v>
      </c>
      <c r="H162" s="59"/>
      <c r="I162" s="60" t="s">
        <v>24</v>
      </c>
      <c r="J162" s="61">
        <v>6.9444444444444441E-3</v>
      </c>
      <c r="K162" s="62"/>
      <c r="L162" s="6"/>
      <c r="M162" s="6"/>
      <c r="N162" s="6"/>
    </row>
    <row r="163" spans="1:14" ht="165" customHeight="1">
      <c r="A163" s="11"/>
      <c r="B163" s="108" t="str">
        <f>master!B136</f>
        <v>課題2の実施</v>
      </c>
      <c r="C163" s="58" t="str">
        <f>master!C136</f>
        <v>ここから各自で演習を始めましょう。</v>
      </c>
      <c r="D163" s="105" t="s">
        <v>344</v>
      </c>
      <c r="E163" s="106"/>
      <c r="F163" s="107"/>
      <c r="G163" s="58" t="s">
        <v>398</v>
      </c>
      <c r="H163" s="59"/>
      <c r="I163" s="60" t="s">
        <v>24</v>
      </c>
      <c r="J163" s="61" t="s">
        <v>433</v>
      </c>
      <c r="K163" s="62"/>
      <c r="L163" s="6"/>
      <c r="M163" s="6"/>
      <c r="N163" s="6"/>
    </row>
    <row r="164" spans="1:14" ht="151.19999999999999">
      <c r="A164" s="11"/>
      <c r="B164" s="109"/>
      <c r="C164" s="58" t="str">
        <f>master!C137</f>
        <v>[終了条件] 講師配布のテストプログラム(JUnit)が成功すること</v>
      </c>
      <c r="D164" s="105" t="s">
        <v>432</v>
      </c>
      <c r="E164" s="106"/>
      <c r="F164" s="107"/>
      <c r="G164" s="58" t="s">
        <v>431</v>
      </c>
      <c r="H164" s="59"/>
      <c r="I164" s="60" t="s">
        <v>24</v>
      </c>
      <c r="J164" s="61">
        <v>8.3333333333333329E-2</v>
      </c>
      <c r="K164" s="62"/>
      <c r="L164" s="6"/>
      <c r="M164" s="6"/>
      <c r="N164" s="6"/>
    </row>
    <row r="165" spans="1:14" ht="163.80000000000001">
      <c r="A165" s="11"/>
      <c r="B165" s="108" t="str">
        <f>master!B139</f>
        <v>追加課題</v>
      </c>
      <c r="C165" s="58" t="str">
        <f>master!C139</f>
        <v>演習課題の概要</v>
      </c>
      <c r="D165" s="105" t="s">
        <v>346</v>
      </c>
      <c r="E165" s="106"/>
      <c r="F165" s="107"/>
      <c r="G165" s="58" t="s">
        <v>425</v>
      </c>
      <c r="H165" s="59"/>
      <c r="I165" s="60" t="s">
        <v>24</v>
      </c>
      <c r="J165" s="61" t="s">
        <v>433</v>
      </c>
      <c r="K165" s="62"/>
      <c r="L165" s="6"/>
      <c r="M165" s="6"/>
      <c r="N165" s="6"/>
    </row>
    <row r="166" spans="1:14" ht="25.2">
      <c r="A166" s="11"/>
      <c r="B166" s="110"/>
      <c r="C166" s="58" t="str">
        <f>master!C140</f>
        <v>追加課題①：送料の表示機能</v>
      </c>
      <c r="D166" s="105" t="s">
        <v>348</v>
      </c>
      <c r="E166" s="106"/>
      <c r="F166" s="107"/>
      <c r="G166" s="58" t="s">
        <v>426</v>
      </c>
      <c r="H166" s="59"/>
      <c r="I166" s="60" t="s">
        <v>24</v>
      </c>
      <c r="J166" s="61" t="s">
        <v>433</v>
      </c>
      <c r="K166" s="62"/>
      <c r="L166" s="6"/>
      <c r="M166" s="6"/>
      <c r="N166" s="6"/>
    </row>
    <row r="167" spans="1:14" ht="25.2">
      <c r="A167" s="11"/>
      <c r="B167" s="110"/>
      <c r="C167" s="58" t="str">
        <f>master!C141</f>
        <v>追加課題②：クーポン機能</v>
      </c>
      <c r="D167" s="105" t="s">
        <v>348</v>
      </c>
      <c r="E167" s="106"/>
      <c r="F167" s="107"/>
      <c r="G167" s="58" t="s">
        <v>426</v>
      </c>
      <c r="H167" s="59"/>
      <c r="I167" s="60" t="s">
        <v>24</v>
      </c>
      <c r="J167" s="61" t="s">
        <v>433</v>
      </c>
      <c r="K167" s="62"/>
      <c r="L167" s="6"/>
      <c r="M167" s="6"/>
      <c r="N167" s="6"/>
    </row>
    <row r="168" spans="1:14" ht="25.2">
      <c r="A168" s="11"/>
      <c r="B168" s="109"/>
      <c r="C168" s="58" t="str">
        <f>master!C142</f>
        <v>追加課題③：ユーザーアカウント機能</v>
      </c>
      <c r="D168" s="105" t="s">
        <v>348</v>
      </c>
      <c r="E168" s="106"/>
      <c r="F168" s="107"/>
      <c r="G168" s="58" t="s">
        <v>426</v>
      </c>
      <c r="H168" s="59"/>
      <c r="I168" s="60" t="s">
        <v>24</v>
      </c>
      <c r="J168" s="61" t="s">
        <v>433</v>
      </c>
      <c r="K168" s="62"/>
      <c r="L168" s="6"/>
      <c r="M168" s="6"/>
      <c r="N168" s="6"/>
    </row>
    <row r="169" spans="1:14" ht="176.4">
      <c r="A169" s="11"/>
      <c r="B169" s="108" t="str">
        <f>master!B144</f>
        <v>課題の振り返り</v>
      </c>
      <c r="C169" s="58" t="str">
        <f>master!C144</f>
        <v>サンプルのAPとの自分のAPとの比較</v>
      </c>
      <c r="D169" s="105" t="s">
        <v>428</v>
      </c>
      <c r="E169" s="106"/>
      <c r="F169" s="107"/>
      <c r="G169" s="58" t="s">
        <v>429</v>
      </c>
      <c r="H169" s="59"/>
      <c r="I169" s="60" t="s">
        <v>24</v>
      </c>
      <c r="J169" s="61">
        <v>2.0833333333333332E-2</v>
      </c>
      <c r="K169" s="62"/>
      <c r="L169" s="6"/>
      <c r="M169" s="6"/>
      <c r="N169" s="6"/>
    </row>
    <row r="170" spans="1:14" ht="63">
      <c r="A170" s="11"/>
      <c r="B170" s="109"/>
      <c r="C170" s="58" t="str">
        <f>master!C145</f>
        <v>レポートの作成</v>
      </c>
      <c r="D170" s="105" t="s">
        <v>430</v>
      </c>
      <c r="E170" s="106"/>
      <c r="F170" s="107"/>
      <c r="G170" s="58" t="s">
        <v>427</v>
      </c>
      <c r="H170" s="59"/>
      <c r="I170" s="60" t="s">
        <v>24</v>
      </c>
      <c r="J170" s="61">
        <v>2.0833333333333332E-2</v>
      </c>
      <c r="K170" s="62"/>
      <c r="L170" s="6"/>
      <c r="M170" s="6"/>
      <c r="N170" s="6"/>
    </row>
    <row r="171" spans="1:14" ht="15" customHeight="1">
      <c r="J171" s="43"/>
    </row>
    <row r="172" spans="1:14" ht="15" customHeight="1"/>
  </sheetData>
  <mergeCells count="180">
    <mergeCell ref="B144:B145"/>
    <mergeCell ref="D117:F117"/>
    <mergeCell ref="D146:F146"/>
    <mergeCell ref="D169:F169"/>
    <mergeCell ref="D166:F166"/>
    <mergeCell ref="D165:F165"/>
    <mergeCell ref="D147:F147"/>
    <mergeCell ref="D148:F148"/>
    <mergeCell ref="D149:F149"/>
    <mergeCell ref="D162:F162"/>
    <mergeCell ref="D163:F163"/>
    <mergeCell ref="D150:F150"/>
    <mergeCell ref="D151:F151"/>
    <mergeCell ref="D159:F159"/>
    <mergeCell ref="D153:F153"/>
    <mergeCell ref="D155:F155"/>
    <mergeCell ref="D156:F156"/>
    <mergeCell ref="B151:B162"/>
    <mergeCell ref="B147:B150"/>
    <mergeCell ref="D131:F131"/>
    <mergeCell ref="D132:F132"/>
    <mergeCell ref="D133:F133"/>
    <mergeCell ref="D134:F134"/>
    <mergeCell ref="B119:B121"/>
    <mergeCell ref="B122:B125"/>
    <mergeCell ref="B126:B143"/>
    <mergeCell ref="D121:F121"/>
    <mergeCell ref="D122:F122"/>
    <mergeCell ref="D123:F123"/>
    <mergeCell ref="D124:F124"/>
    <mergeCell ref="D126:F126"/>
    <mergeCell ref="D127:F127"/>
    <mergeCell ref="D128:F128"/>
    <mergeCell ref="D129:F129"/>
    <mergeCell ref="D130:F130"/>
    <mergeCell ref="D120:F120"/>
    <mergeCell ref="D119:F119"/>
    <mergeCell ref="D97:F97"/>
    <mergeCell ref="D96:F96"/>
    <mergeCell ref="D95:F95"/>
    <mergeCell ref="D98:F98"/>
    <mergeCell ref="B94:B99"/>
    <mergeCell ref="D94:F94"/>
    <mergeCell ref="D93:F93"/>
    <mergeCell ref="D99:F99"/>
    <mergeCell ref="D92:F92"/>
    <mergeCell ref="B92:B93"/>
    <mergeCell ref="D77:F77"/>
    <mergeCell ref="D79:F79"/>
    <mergeCell ref="D81:F81"/>
    <mergeCell ref="D75:F75"/>
    <mergeCell ref="D86:F86"/>
    <mergeCell ref="D91:F91"/>
    <mergeCell ref="D83:F83"/>
    <mergeCell ref="D84:F84"/>
    <mergeCell ref="B72:B91"/>
    <mergeCell ref="D85:F85"/>
    <mergeCell ref="D87:F87"/>
    <mergeCell ref="D88:F88"/>
    <mergeCell ref="D89:F89"/>
    <mergeCell ref="D90:F90"/>
    <mergeCell ref="D78:F78"/>
    <mergeCell ref="D80:F80"/>
    <mergeCell ref="D82:F82"/>
    <mergeCell ref="D76:F76"/>
    <mergeCell ref="D74:F74"/>
    <mergeCell ref="B56:B58"/>
    <mergeCell ref="D70:F70"/>
    <mergeCell ref="D71:F71"/>
    <mergeCell ref="D72:F72"/>
    <mergeCell ref="D73:F73"/>
    <mergeCell ref="D63:F63"/>
    <mergeCell ref="D57:F57"/>
    <mergeCell ref="D58:F58"/>
    <mergeCell ref="D59:F59"/>
    <mergeCell ref="D60:F60"/>
    <mergeCell ref="D67:F67"/>
    <mergeCell ref="D68:F68"/>
    <mergeCell ref="D61:F61"/>
    <mergeCell ref="D62:F62"/>
    <mergeCell ref="D64:F64"/>
    <mergeCell ref="D65:F65"/>
    <mergeCell ref="D66:F66"/>
    <mergeCell ref="D69:F69"/>
    <mergeCell ref="D56:F56"/>
    <mergeCell ref="B63:B71"/>
    <mergeCell ref="B59:B62"/>
    <mergeCell ref="D47:F47"/>
    <mergeCell ref="D48:F48"/>
    <mergeCell ref="D49:F49"/>
    <mergeCell ref="D55:F55"/>
    <mergeCell ref="D37:F37"/>
    <mergeCell ref="B23:B28"/>
    <mergeCell ref="B29:B36"/>
    <mergeCell ref="B37:B55"/>
    <mergeCell ref="D50:F50"/>
    <mergeCell ref="D51:F51"/>
    <mergeCell ref="D52:F52"/>
    <mergeCell ref="D53:F53"/>
    <mergeCell ref="D54:F54"/>
    <mergeCell ref="D38:F38"/>
    <mergeCell ref="D39:F39"/>
    <mergeCell ref="D40:F40"/>
    <mergeCell ref="D41:F41"/>
    <mergeCell ref="D42:F42"/>
    <mergeCell ref="D43:F43"/>
    <mergeCell ref="D44:F44"/>
    <mergeCell ref="D45:F45"/>
    <mergeCell ref="D46:F46"/>
    <mergeCell ref="I20:J20"/>
    <mergeCell ref="H20:H21"/>
    <mergeCell ref="B4:E4"/>
    <mergeCell ref="B5:K5"/>
    <mergeCell ref="D20:F21"/>
    <mergeCell ref="G20:G21"/>
    <mergeCell ref="B20:B21"/>
    <mergeCell ref="C20:C21"/>
    <mergeCell ref="K20:K21"/>
    <mergeCell ref="D7:E7"/>
    <mergeCell ref="D22:F22"/>
    <mergeCell ref="D36:F36"/>
    <mergeCell ref="D23:F23"/>
    <mergeCell ref="D29:F29"/>
    <mergeCell ref="D24:F24"/>
    <mergeCell ref="D26:F26"/>
    <mergeCell ref="D28:F28"/>
    <mergeCell ref="D35:F35"/>
    <mergeCell ref="D25:F25"/>
    <mergeCell ref="D27:F27"/>
    <mergeCell ref="D30:F30"/>
    <mergeCell ref="D31:F31"/>
    <mergeCell ref="D32:F32"/>
    <mergeCell ref="D33:F33"/>
    <mergeCell ref="D34:F34"/>
    <mergeCell ref="D142:F142"/>
    <mergeCell ref="D143:F143"/>
    <mergeCell ref="D125:F125"/>
    <mergeCell ref="D137:F137"/>
    <mergeCell ref="D138:F138"/>
    <mergeCell ref="D139:F139"/>
    <mergeCell ref="D140:F140"/>
    <mergeCell ref="D141:F141"/>
    <mergeCell ref="D136:F136"/>
    <mergeCell ref="D135:F135"/>
    <mergeCell ref="B102:B103"/>
    <mergeCell ref="B104:B105"/>
    <mergeCell ref="B106:B117"/>
    <mergeCell ref="D100:F100"/>
    <mergeCell ref="D101:F101"/>
    <mergeCell ref="D103:F103"/>
    <mergeCell ref="D102:F102"/>
    <mergeCell ref="D116:F116"/>
    <mergeCell ref="B163:B164"/>
    <mergeCell ref="D114:F114"/>
    <mergeCell ref="D115:F115"/>
    <mergeCell ref="D112:F112"/>
    <mergeCell ref="D113:F113"/>
    <mergeCell ref="D104:F104"/>
    <mergeCell ref="D105:F105"/>
    <mergeCell ref="D106:F106"/>
    <mergeCell ref="D107:F107"/>
    <mergeCell ref="D118:F118"/>
    <mergeCell ref="D108:F108"/>
    <mergeCell ref="D109:F109"/>
    <mergeCell ref="D110:F110"/>
    <mergeCell ref="D111:F111"/>
    <mergeCell ref="D144:F144"/>
    <mergeCell ref="D145:F145"/>
    <mergeCell ref="D168:F168"/>
    <mergeCell ref="D167:F167"/>
    <mergeCell ref="D170:F170"/>
    <mergeCell ref="B169:B170"/>
    <mergeCell ref="D152:F152"/>
    <mergeCell ref="D154:F154"/>
    <mergeCell ref="D157:F157"/>
    <mergeCell ref="D158:F158"/>
    <mergeCell ref="D160:F160"/>
    <mergeCell ref="D161:F161"/>
    <mergeCell ref="B165:B168"/>
    <mergeCell ref="D164:F164"/>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H22:H170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46"/>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54</v>
      </c>
    </row>
    <row r="2" spans="2:3">
      <c r="B2" s="80" t="s">
        <v>12</v>
      </c>
      <c r="C2" s="80" t="s">
        <v>13</v>
      </c>
    </row>
    <row r="3" spans="2:3">
      <c r="B3" t="s">
        <v>407</v>
      </c>
      <c r="C3" t="s">
        <v>55</v>
      </c>
    </row>
    <row r="4" spans="2:3">
      <c r="B4" t="s">
        <v>57</v>
      </c>
      <c r="C4" t="s">
        <v>56</v>
      </c>
    </row>
    <row r="5" spans="2:3">
      <c r="C5" t="s">
        <v>60</v>
      </c>
    </row>
    <row r="6" spans="2:3">
      <c r="C6" t="s">
        <v>87</v>
      </c>
    </row>
    <row r="7" spans="2:3">
      <c r="C7" t="s">
        <v>88</v>
      </c>
    </row>
    <row r="8" spans="2:3">
      <c r="C8" t="s">
        <v>61</v>
      </c>
    </row>
    <row r="9" spans="2:3">
      <c r="B9" t="s">
        <v>58</v>
      </c>
      <c r="C9" t="s">
        <v>58</v>
      </c>
    </row>
    <row r="10" spans="2:3">
      <c r="C10" t="s">
        <v>62</v>
      </c>
    </row>
    <row r="11" spans="2:3">
      <c r="C11" t="s">
        <v>63</v>
      </c>
    </row>
    <row r="12" spans="2:3">
      <c r="C12" t="s">
        <v>64</v>
      </c>
    </row>
    <row r="13" spans="2:3">
      <c r="C13" t="s">
        <v>65</v>
      </c>
    </row>
    <row r="14" spans="2:3">
      <c r="C14" t="s">
        <v>66</v>
      </c>
    </row>
    <row r="15" spans="2:3">
      <c r="C15" t="s">
        <v>67</v>
      </c>
    </row>
    <row r="16" spans="2:3">
      <c r="C16" t="s">
        <v>68</v>
      </c>
    </row>
    <row r="17" spans="2:3">
      <c r="B17" t="s">
        <v>59</v>
      </c>
      <c r="C17" t="s">
        <v>69</v>
      </c>
    </row>
    <row r="18" spans="2:3">
      <c r="C18" t="s">
        <v>70</v>
      </c>
    </row>
    <row r="19" spans="2:3">
      <c r="C19" t="s">
        <v>71</v>
      </c>
    </row>
    <row r="20" spans="2:3">
      <c r="C20" t="s">
        <v>72</v>
      </c>
    </row>
    <row r="21" spans="2:3">
      <c r="C21" t="s">
        <v>73</v>
      </c>
    </row>
    <row r="22" spans="2:3">
      <c r="C22" t="s">
        <v>74</v>
      </c>
    </row>
    <row r="23" spans="2:3">
      <c r="C23" t="s">
        <v>73</v>
      </c>
    </row>
    <row r="24" spans="2:3">
      <c r="C24" t="s">
        <v>75</v>
      </c>
    </row>
    <row r="25" spans="2:3">
      <c r="C25" t="s">
        <v>76</v>
      </c>
    </row>
    <row r="26" spans="2:3">
      <c r="C26" t="s">
        <v>77</v>
      </c>
    </row>
    <row r="27" spans="2:3">
      <c r="C27" t="s">
        <v>78</v>
      </c>
    </row>
    <row r="28" spans="2:3">
      <c r="C28" t="s">
        <v>79</v>
      </c>
    </row>
    <row r="29" spans="2:3">
      <c r="C29" t="s">
        <v>80</v>
      </c>
    </row>
    <row r="30" spans="2:3">
      <c r="C30" t="s">
        <v>81</v>
      </c>
    </row>
    <row r="31" spans="2:3">
      <c r="C31" t="s">
        <v>82</v>
      </c>
    </row>
    <row r="32" spans="2:3">
      <c r="C32" t="s">
        <v>83</v>
      </c>
    </row>
    <row r="33" spans="2:3">
      <c r="C33" t="s">
        <v>84</v>
      </c>
    </row>
    <row r="34" spans="2:3">
      <c r="C34" t="s">
        <v>85</v>
      </c>
    </row>
    <row r="35" spans="2:3">
      <c r="C35" t="s">
        <v>86</v>
      </c>
    </row>
    <row r="36" spans="2:3">
      <c r="B36" s="81"/>
      <c r="C36" s="81"/>
    </row>
    <row r="37" spans="2:3">
      <c r="B37" t="s">
        <v>408</v>
      </c>
      <c r="C37" t="s">
        <v>174</v>
      </c>
    </row>
    <row r="38" spans="2:3">
      <c r="C38" t="s">
        <v>134</v>
      </c>
    </row>
    <row r="39" spans="2:3">
      <c r="C39" t="s">
        <v>135</v>
      </c>
    </row>
    <row r="40" spans="2:3">
      <c r="B40" t="s">
        <v>170</v>
      </c>
      <c r="C40" t="s">
        <v>136</v>
      </c>
    </row>
    <row r="41" spans="2:3">
      <c r="C41" t="s">
        <v>137</v>
      </c>
    </row>
    <row r="42" spans="2:3">
      <c r="C42" t="s">
        <v>138</v>
      </c>
    </row>
    <row r="43" spans="2:3">
      <c r="C43" t="s">
        <v>139</v>
      </c>
    </row>
    <row r="44" spans="2:3">
      <c r="B44" t="s">
        <v>140</v>
      </c>
      <c r="C44" t="s">
        <v>141</v>
      </c>
    </row>
    <row r="45" spans="2:3">
      <c r="C45" t="s">
        <v>142</v>
      </c>
    </row>
    <row r="46" spans="2:3">
      <c r="C46" t="s">
        <v>143</v>
      </c>
    </row>
    <row r="47" spans="2:3">
      <c r="C47" t="s">
        <v>144</v>
      </c>
    </row>
    <row r="48" spans="2:3">
      <c r="C48" t="s">
        <v>185</v>
      </c>
    </row>
    <row r="49" spans="2:3">
      <c r="C49" t="s">
        <v>145</v>
      </c>
    </row>
    <row r="50" spans="2:3">
      <c r="C50" t="s">
        <v>146</v>
      </c>
    </row>
    <row r="51" spans="2:3">
      <c r="C51" t="s">
        <v>147</v>
      </c>
    </row>
    <row r="52" spans="2:3">
      <c r="C52" t="s">
        <v>148</v>
      </c>
    </row>
    <row r="53" spans="2:3">
      <c r="B53" t="s">
        <v>406</v>
      </c>
      <c r="C53" t="s">
        <v>149</v>
      </c>
    </row>
    <row r="54" spans="2:3">
      <c r="C54" t="s">
        <v>150</v>
      </c>
    </row>
    <row r="55" spans="2:3">
      <c r="C55" t="s">
        <v>151</v>
      </c>
    </row>
    <row r="56" spans="2:3">
      <c r="C56" t="s">
        <v>152</v>
      </c>
    </row>
    <row r="57" spans="2:3">
      <c r="C57" t="s">
        <v>153</v>
      </c>
    </row>
    <row r="58" spans="2:3">
      <c r="C58" t="s">
        <v>154</v>
      </c>
    </row>
    <row r="59" spans="2:3">
      <c r="C59" t="s">
        <v>155</v>
      </c>
    </row>
    <row r="60" spans="2:3">
      <c r="C60" t="s">
        <v>156</v>
      </c>
    </row>
    <row r="61" spans="2:3">
      <c r="C61" t="s">
        <v>157</v>
      </c>
    </row>
    <row r="62" spans="2:3">
      <c r="C62" t="s">
        <v>158</v>
      </c>
    </row>
    <row r="63" spans="2:3">
      <c r="C63" t="s">
        <v>159</v>
      </c>
    </row>
    <row r="64" spans="2:3">
      <c r="C64" t="s">
        <v>181</v>
      </c>
    </row>
    <row r="65" spans="2:3">
      <c r="C65" t="s">
        <v>160</v>
      </c>
    </row>
    <row r="66" spans="2:3">
      <c r="C66" t="s">
        <v>161</v>
      </c>
    </row>
    <row r="67" spans="2:3">
      <c r="B67" t="s">
        <v>404</v>
      </c>
      <c r="C67" t="s">
        <v>162</v>
      </c>
    </row>
    <row r="68" spans="2:3">
      <c r="B68" s="81"/>
      <c r="C68" s="81"/>
    </row>
    <row r="69" spans="2:3">
      <c r="B69" t="s">
        <v>171</v>
      </c>
      <c r="C69" t="s">
        <v>163</v>
      </c>
    </row>
    <row r="70" spans="2:3">
      <c r="C70" t="s">
        <v>164</v>
      </c>
    </row>
    <row r="71" spans="2:3">
      <c r="B71" t="s">
        <v>173</v>
      </c>
      <c r="C71" t="s">
        <v>172</v>
      </c>
    </row>
    <row r="72" spans="2:3">
      <c r="C72" t="s">
        <v>165</v>
      </c>
    </row>
    <row r="73" spans="2:3">
      <c r="C73" t="s">
        <v>166</v>
      </c>
    </row>
    <row r="74" spans="2:3">
      <c r="C74" t="s">
        <v>167</v>
      </c>
    </row>
    <row r="75" spans="2:3">
      <c r="C75" t="s">
        <v>168</v>
      </c>
    </row>
    <row r="76" spans="2:3">
      <c r="C76" t="s">
        <v>169</v>
      </c>
    </row>
    <row r="77" spans="2:3">
      <c r="B77" s="81"/>
      <c r="C77" s="81"/>
    </row>
    <row r="78" spans="2:3">
      <c r="B78" t="s">
        <v>409</v>
      </c>
      <c r="C78" s="82" t="s">
        <v>225</v>
      </c>
    </row>
    <row r="79" spans="2:3">
      <c r="B79" t="s">
        <v>226</v>
      </c>
      <c r="C79" s="82" t="s">
        <v>216</v>
      </c>
    </row>
    <row r="80" spans="2:3">
      <c r="C80" s="82" t="s">
        <v>217</v>
      </c>
    </row>
    <row r="81" spans="2:3">
      <c r="B81" t="s">
        <v>230</v>
      </c>
      <c r="C81" s="83" t="s">
        <v>218</v>
      </c>
    </row>
    <row r="82" spans="2:3">
      <c r="C82" s="79" t="s">
        <v>219</v>
      </c>
    </row>
    <row r="83" spans="2:3">
      <c r="B83" t="s">
        <v>232</v>
      </c>
      <c r="C83" s="79" t="s">
        <v>234</v>
      </c>
    </row>
    <row r="84" spans="2:3">
      <c r="C84" s="79" t="s">
        <v>220</v>
      </c>
    </row>
    <row r="85" spans="2:3">
      <c r="C85" s="79" t="s">
        <v>221</v>
      </c>
    </row>
    <row r="86" spans="2:3">
      <c r="C86" s="79" t="s">
        <v>236</v>
      </c>
    </row>
    <row r="87" spans="2:3">
      <c r="C87" s="79" t="s">
        <v>238</v>
      </c>
    </row>
    <row r="88" spans="2:3">
      <c r="C88" s="79" t="s">
        <v>240</v>
      </c>
    </row>
    <row r="89" spans="2:3">
      <c r="C89" s="79" t="s">
        <v>242</v>
      </c>
    </row>
    <row r="90" spans="2:3">
      <c r="C90" s="79" t="s">
        <v>244</v>
      </c>
    </row>
    <row r="91" spans="2:3">
      <c r="C91" s="79" t="s">
        <v>245</v>
      </c>
    </row>
    <row r="92" spans="2:3">
      <c r="C92" s="79" t="s">
        <v>222</v>
      </c>
    </row>
    <row r="93" spans="2:3">
      <c r="C93" s="79" t="s">
        <v>223</v>
      </c>
    </row>
    <row r="94" spans="2:3">
      <c r="C94" s="79" t="s">
        <v>224</v>
      </c>
    </row>
    <row r="95" spans="2:3">
      <c r="B95" s="81"/>
      <c r="C95" s="81"/>
    </row>
    <row r="96" spans="2:3">
      <c r="B96" t="s">
        <v>410</v>
      </c>
      <c r="C96" s="79" t="s">
        <v>55</v>
      </c>
    </row>
    <row r="97" spans="2:3">
      <c r="C97" s="82" t="s">
        <v>266</v>
      </c>
    </row>
    <row r="98" spans="2:3">
      <c r="C98" s="82" t="s">
        <v>267</v>
      </c>
    </row>
    <row r="99" spans="2:3">
      <c r="B99" t="s">
        <v>285</v>
      </c>
      <c r="C99" s="82" t="s">
        <v>268</v>
      </c>
    </row>
    <row r="100" spans="2:3">
      <c r="C100" s="82" t="s">
        <v>269</v>
      </c>
    </row>
    <row r="101" spans="2:3">
      <c r="C101" s="83" t="s">
        <v>270</v>
      </c>
    </row>
    <row r="102" spans="2:3">
      <c r="C102" s="79" t="s">
        <v>271</v>
      </c>
    </row>
    <row r="103" spans="2:3">
      <c r="B103" t="s">
        <v>286</v>
      </c>
      <c r="C103" s="79" t="s">
        <v>281</v>
      </c>
    </row>
    <row r="104" spans="2:3">
      <c r="C104" s="79" t="s">
        <v>272</v>
      </c>
    </row>
    <row r="105" spans="2:3">
      <c r="C105" s="79" t="s">
        <v>287</v>
      </c>
    </row>
    <row r="106" spans="2:3">
      <c r="C106" s="79" t="s">
        <v>288</v>
      </c>
    </row>
    <row r="107" spans="2:3">
      <c r="C107" t="s">
        <v>289</v>
      </c>
    </row>
    <row r="108" spans="2:3">
      <c r="C108" s="79" t="s">
        <v>273</v>
      </c>
    </row>
    <row r="109" spans="2:3">
      <c r="C109" s="79" t="s">
        <v>290</v>
      </c>
    </row>
    <row r="110" spans="2:3">
      <c r="C110" s="79" t="s">
        <v>291</v>
      </c>
    </row>
    <row r="111" spans="2:3">
      <c r="C111" s="79" t="s">
        <v>292</v>
      </c>
    </row>
    <row r="112" spans="2:3">
      <c r="C112" s="79" t="s">
        <v>274</v>
      </c>
    </row>
    <row r="113" spans="2:3">
      <c r="C113" s="79" t="s">
        <v>275</v>
      </c>
    </row>
    <row r="114" spans="2:3">
      <c r="C114" s="79" t="s">
        <v>276</v>
      </c>
    </row>
    <row r="115" spans="2:3">
      <c r="C115" s="79" t="s">
        <v>277</v>
      </c>
    </row>
    <row r="116" spans="2:3">
      <c r="C116" s="79" t="s">
        <v>278</v>
      </c>
    </row>
    <row r="117" spans="2:3">
      <c r="C117" s="79" t="s">
        <v>279</v>
      </c>
    </row>
    <row r="118" spans="2:3">
      <c r="C118" s="79" t="s">
        <v>280</v>
      </c>
    </row>
    <row r="119" spans="2:3">
      <c r="C119" s="79" t="s">
        <v>282</v>
      </c>
    </row>
    <row r="120" spans="2:3">
      <c r="C120" s="79" t="s">
        <v>283</v>
      </c>
    </row>
    <row r="121" spans="2:3">
      <c r="B121" s="79" t="s">
        <v>402</v>
      </c>
      <c r="C121" s="79" t="s">
        <v>284</v>
      </c>
    </row>
    <row r="122" spans="2:3">
      <c r="C122" s="79" t="s">
        <v>293</v>
      </c>
    </row>
    <row r="123" spans="2:3">
      <c r="B123" s="81"/>
      <c r="C123" s="81"/>
    </row>
    <row r="124" spans="2:3">
      <c r="B124" t="s">
        <v>411</v>
      </c>
      <c r="C124" t="s">
        <v>174</v>
      </c>
    </row>
    <row r="125" spans="2:3">
      <c r="C125" t="s">
        <v>319</v>
      </c>
    </row>
    <row r="126" spans="2:3">
      <c r="C126" s="79" t="s">
        <v>320</v>
      </c>
    </row>
    <row r="127" spans="2:3">
      <c r="C127" s="79" t="s">
        <v>321</v>
      </c>
    </row>
    <row r="128" spans="2:3">
      <c r="B128" t="s">
        <v>406</v>
      </c>
      <c r="C128" s="79" t="s">
        <v>322</v>
      </c>
    </row>
    <row r="129" spans="2:3">
      <c r="C129" s="79" t="s">
        <v>330</v>
      </c>
    </row>
    <row r="130" spans="2:3">
      <c r="C130" s="79" t="s">
        <v>331</v>
      </c>
    </row>
    <row r="131" spans="2:3">
      <c r="C131" s="79" t="s">
        <v>323</v>
      </c>
    </row>
    <row r="132" spans="2:3">
      <c r="C132" s="79" t="s">
        <v>332</v>
      </c>
    </row>
    <row r="133" spans="2:3">
      <c r="C133" s="79" t="s">
        <v>324</v>
      </c>
    </row>
    <row r="134" spans="2:3">
      <c r="C134" s="79" t="s">
        <v>333</v>
      </c>
    </row>
    <row r="135" spans="2:3">
      <c r="C135" s="79" t="s">
        <v>325</v>
      </c>
    </row>
    <row r="136" spans="2:3">
      <c r="B136" t="s">
        <v>403</v>
      </c>
      <c r="C136" s="79" t="s">
        <v>326</v>
      </c>
    </row>
    <row r="137" spans="2:3">
      <c r="C137" s="79" t="s">
        <v>345</v>
      </c>
    </row>
    <row r="138" spans="2:3">
      <c r="B138" s="81"/>
      <c r="C138" s="81"/>
    </row>
    <row r="139" spans="2:3">
      <c r="B139" t="s">
        <v>328</v>
      </c>
      <c r="C139" t="s">
        <v>174</v>
      </c>
    </row>
    <row r="140" spans="2:3">
      <c r="B140" s="79"/>
      <c r="C140" s="79" t="s">
        <v>347</v>
      </c>
    </row>
    <row r="141" spans="2:3">
      <c r="C141" s="79" t="s">
        <v>327</v>
      </c>
    </row>
    <row r="142" spans="2:3">
      <c r="C142" s="79" t="s">
        <v>329</v>
      </c>
    </row>
    <row r="143" spans="2:3">
      <c r="B143" s="81"/>
      <c r="C143" s="81"/>
    </row>
    <row r="144" spans="2:3">
      <c r="B144" t="s">
        <v>405</v>
      </c>
      <c r="C144" s="79" t="s">
        <v>350</v>
      </c>
    </row>
    <row r="145" spans="2:3">
      <c r="C145" s="79" t="s">
        <v>349</v>
      </c>
    </row>
    <row r="146" spans="2:3">
      <c r="B146" s="81"/>
      <c r="C14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2026-06-18T00:12:00Z</dcterms:modified>
</cp:coreProperties>
</file>
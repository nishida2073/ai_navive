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2DFBEAB3-0E29-4F8E-A1D5-6813AA661763}"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1日）" sheetId="33" r:id="rId1"/>
    <sheet name="特記イベント" sheetId="36" r:id="rId2"/>
    <sheet name="講義" sheetId="31" r:id="rId3"/>
    <sheet name="master" sheetId="21" r:id="rId4"/>
  </sheets>
  <definedNames>
    <definedName name="_xlnm.Print_Area" localSheetId="0">'スケジュール（1日）'!$A$1:$H$44</definedName>
    <definedName name="_xlnm.Print_Area" localSheetId="2">講義!$A$1:$L$120</definedName>
    <definedName name="_xlnm.Print_Area" localSheetId="1">特記イベント!$A$1:$L$15</definedName>
  </definedNames>
  <calcPr calcId="191029"/>
</workbook>
</file>

<file path=xl/calcChain.xml><?xml version="1.0" encoding="utf-8"?>
<calcChain xmlns="http://schemas.openxmlformats.org/spreadsheetml/2006/main">
  <c r="B106" i="31" l="1"/>
  <c r="B104" i="31"/>
  <c r="C103" i="31"/>
  <c r="C102" i="31"/>
  <c r="B102" i="31"/>
  <c r="C101" i="31"/>
  <c r="B101" i="31"/>
  <c r="C100" i="31"/>
  <c r="B100" i="31"/>
  <c r="C98" i="31"/>
  <c r="C90" i="31"/>
  <c r="C67" i="31"/>
  <c r="C99" i="31"/>
  <c r="C97" i="31"/>
  <c r="C96" i="31"/>
  <c r="C95" i="31"/>
  <c r="B92" i="31"/>
  <c r="B72" i="31"/>
  <c r="B59" i="31"/>
  <c r="B94" i="31"/>
  <c r="C94" i="31"/>
  <c r="C93" i="31"/>
  <c r="C92" i="31"/>
  <c r="C89" i="31"/>
  <c r="C88" i="31"/>
  <c r="C87" i="31"/>
  <c r="C85" i="31"/>
  <c r="C84" i="31"/>
  <c r="C83" i="31"/>
  <c r="C82" i="31"/>
  <c r="C80" i="31"/>
  <c r="C78" i="31"/>
  <c r="C76" i="31"/>
  <c r="C74" i="31"/>
  <c r="C73" i="31"/>
  <c r="C72" i="31"/>
  <c r="C71" i="31"/>
  <c r="C70" i="31"/>
  <c r="C69" i="31"/>
  <c r="C68" i="31"/>
  <c r="C66" i="31"/>
  <c r="C65" i="31"/>
  <c r="C64" i="31"/>
  <c r="C63" i="31"/>
  <c r="C62" i="31"/>
  <c r="C61" i="31"/>
  <c r="C60" i="31"/>
  <c r="C59" i="31"/>
  <c r="C58" i="31"/>
  <c r="C57" i="31"/>
  <c r="C56" i="31"/>
  <c r="B56" i="31"/>
  <c r="C25" i="31"/>
  <c r="B29" i="31"/>
  <c r="B37"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2" i="31"/>
  <c r="B22" i="31"/>
  <c r="B2" i="33"/>
  <c r="C34" i="33"/>
  <c r="C29" i="33"/>
  <c r="C27" i="33"/>
  <c r="C20" i="33"/>
  <c r="C19" i="33"/>
  <c r="C17" i="33"/>
  <c r="C14" i="33"/>
  <c r="C11" i="33"/>
  <c r="B23" i="31"/>
  <c r="C24" i="31"/>
  <c r="C26" i="31"/>
  <c r="C23"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<sst xmlns="http://schemas.openxmlformats.org/spreadsheetml/2006/main" count="509" uniqueCount="285">
  <si>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</si>
  <si>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</si>
  <si>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</si>
  <si>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</si>
  <si>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</si>
  <si>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</si>
  <si>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</si>
  <si>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</si>
  <si>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</si>
  <si>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アンケート</t>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</si>
  <si>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</si>
  <si>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</si>
  <si>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</si>
  <si>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</si>
  <si>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</si>
  <si>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</si>
  <si>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</si>
  <si>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</si>
  <si>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</si>
  <si>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</si>
  <si>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</si>
  <si>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</si>
  <si>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</si>
  <si>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</si>
  <si>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</si>
  <si>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</si>
  <si>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</si>
  <si>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</si>
  <si>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</si>
  <si>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</si>
  <si>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</si>
  <si>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</si>
  <si>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研修ファイルサーバの保存先</t>
    <rPh sb="0" eb="2">
      <t>ケンシュウ</t>
    </rPh>
    <rPh sb="10" eb="12">
      <t>ホゾン</t>
    </rPh>
    <rPh sb="12" eb="13">
      <t>サキ</t>
    </rPh>
    <phoneticPr fontId="3"/>
  </si>
  <si>
    <t>－</t>
    <phoneticPr fontId="3"/>
  </si>
  <si>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</si>
  <si>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</si>
  <si>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</si>
  <si>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・アンケートの実施</t>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</si>
  <si>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</si>
  <si>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</si>
  <si>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</si>
  <si>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</si>
  <si>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</si>
  <si>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 Native研修】Gitについての説明.pptx</t>
    <phoneticPr fontId="3"/>
  </si>
  <si>
    <t>AI-01</t>
    <phoneticPr fontId="3"/>
  </si>
  <si>
    <t>AI-02</t>
    <phoneticPr fontId="3"/>
  </si>
  <si>
    <t>【AI Native研修】Gitについての補足資材.pptx</t>
    <rPh sb="21" eb="23">
      <t>ホソク</t>
    </rPh>
    <rPh sb="23" eb="25">
      <t>シザイ</t>
    </rPh>
    <phoneticPr fontId="3"/>
  </si>
  <si>
    <t>・AI-01</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</si>
  <si>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</si>
  <si>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</si>
  <si>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</si>
  <si>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</si>
  <si>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</si>
  <si>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</si>
  <si>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</si>
  <si>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</si>
  <si>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</si>
  <si>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</si>
  <si>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</si>
  <si>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</si>
  <si>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 xml:space="preserve">・共通1
</t>
    <phoneticPr fontId="3"/>
  </si>
  <si>
    <t>予備</t>
    <rPh sb="0" eb="2">
      <t>ヨビ</t>
    </rPh>
    <phoneticPr fontId="3"/>
  </si>
  <si>
    <t>ゲームプレゼン</t>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</si>
  <si>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</si>
  <si>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</si>
  <si>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</si>
  <si>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</si>
  <si>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</si>
  <si>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</si>
  <si>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</si>
  <si>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</si>
  <si>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</si>
  <si>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</si>
  <si>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</si>
  <si>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</si>
  <si>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</si>
  <si>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</si>
  <si>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</si>
  <si>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</si>
  <si>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</si>
  <si>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</si>
  <si>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</si>
  <si>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</si>
  <si>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</si>
  <si>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</si>
  <si>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</si>
  <si>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</si>
  <si>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</si>
  <si>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</si>
  <si>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</si>
  <si>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</si>
  <si>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</si>
  <si>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</si>
  <si>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</si>
  <si>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</si>
  <si>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</si>
  <si>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</si>
  <si>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</si>
  <si>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</si>
  <si>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</si>
  <si>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</si>
  <si>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</si>
  <si>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</si>
  <si>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AI-06</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</si>
  <si>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</si>
  <si>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</si>
  <si>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</si>
  <si>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</si>
  <si>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</si>
  <si>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</si>
  <si>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</si>
  <si>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</si>
  <si>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</si>
  <si>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</si>
  <si>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</si>
  <si>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</si>
  <si>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</si>
  <si>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</si>
  <si>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</si>
  <si>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</si>
  <si>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</si>
  <si>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</si>
  <si>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</si>
  <si>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</si>
  <si>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</si>
  <si>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</si>
  <si>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</si>
  <si>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</si>
  <si>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</si>
  <si>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</si>
  <si>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</si>
  <si>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</si>
  <si>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</si>
  <si>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</si>
  <si>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</si>
  <si>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</si>
  <si>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</si>
  <si>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</si>
  <si>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</si>
  <si>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</si>
  <si>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</si>
  <si>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</si>
  <si>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</si>
  <si>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</si>
  <si>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</si>
  <si>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</si>
  <si>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</si>
  <si>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</si>
  <si>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</si>
  <si>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</si>
  <si>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</si>
  <si>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</si>
  <si>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</si>
  <si>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</si>
  <si>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</si>
  <si>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</si>
  <si>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</si>
  <si>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</si>
  <si>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</si>
  <si>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</si>
  <si>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</si>
  <si>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</si>
  <si>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</si>
  <si>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</si>
  <si>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</si>
  <si>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</si>
  <si>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</si>
  <si>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</si>
  <si>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</si>
  <si>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</si>
  <si>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</si>
  <si>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</si>
  <si>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</si>
  <si>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Gitとは</t>
  </si>
  <si>
    <t>Gitの基本的な流れ</t>
  </si>
  <si>
    <t>VS Code上でGitを使う手順-2 【リポジトリの初期化】</t>
  </si>
  <si>
    <t>VS Code上でGitを使う手順-3 【最初のcommit】</t>
  </si>
  <si>
    <t>VS Code上でGitを使う手順-4 【2回目以降のコミット】</t>
  </si>
  <si>
    <t>VS Code上でGitを使う手順-5 【過去のcommitの確認】</t>
  </si>
  <si>
    <t>VS Code上でGitを使う手順-6 【過去の状態に戻す】</t>
  </si>
  <si>
    <t>導入</t>
    <rPh sb="0" eb="2">
      <t>ドウニュウ</t>
    </rPh>
    <phoneticPr fontId="3"/>
  </si>
  <si>
    <t>Spring Bootプロジェクトの_x000B_準備、起動確認</t>
    <phoneticPr fontId="3"/>
  </si>
  <si>
    <t>Gitとは</t>
    <phoneticPr fontId="3"/>
  </si>
  <si>
    <t>VS Code上でGitを使う手順-1 【ユーザ名等の登録】</t>
    <phoneticPr fontId="3"/>
  </si>
  <si>
    <t>VS Code上でGitを使う手順</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</si>
  <si>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</si>
  <si>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</si>
  <si>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</si>
  <si>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</si>
  <si>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</si>
  <si>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</si>
  <si>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</si>
  <si>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</si>
  <si>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t xml:space="preserve">・AI-01
</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</si>
  <si>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</si>
  <si>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</si>
  <si>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</si>
  <si>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</si>
  <si>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</si>
  <si>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</si>
  <si>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</si>
  <si>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</si>
  <si>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</si>
  <si>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</si>
  <si>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</si>
  <si>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</si>
  <si>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</si>
  <si>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</si>
  <si>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</si>
  <si>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</si>
  <si>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</si>
  <si>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</si>
  <si>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</si>
  <si>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</si>
  <si>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</si>
  <si>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</si>
  <si>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</si>
  <si>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</si>
  <si>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</si>
  <si>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</si>
  <si>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バイブコーディング：ハンズオン</t>
    <phoneticPr fontId="3"/>
  </si>
  <si>
    <t>バイブコーディング：演習</t>
    <rPh sb="10" eb="12">
      <t>エンシュウ</t>
    </rPh>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</si>
  <si>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</si>
  <si>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Gitとは、「ドキュメントやソースコードなどの変更履歴を管理するためのバージョン管理システム」のこと。
※変更履歴を時系列で管理し、過去の状態の確認や復元ができます。
■Gitのメリット
・変更履歴を残せる
・以前の状態に戻せる
・安心して変更や実験ができる</t>
    <phoneticPr fontId="3"/>
  </si>
  <si>
    <r>
      <t xml:space="preserve">ユーザ登録の手順を説明する。
1. VS Codeでプロジェクトを開く(File→Open Folderからプロジェクトのルートディレクトリを選択)
2. 上部のタブからTerminalを選択し、「New Terminal」をクリックする。
3. 開いたターミナルで以下2つのコマンドを打つ。
　1. git config --local user.name "任意の名前"
  2. git config --local user.email “自身のメールアドレス(@jp.nttdata.comのもの)"
</t>
    </r>
    <r>
      <rPr>
        <sz val="9"/>
        <color rgb="FFFF0000"/>
        <rFont val="Meiryo UI"/>
        <family val="3"/>
        <charset val="128"/>
      </rPr>
      <t>※ハンズオンとして実施する。
※まとめてコマンドを実行しないように注意する。</t>
    </r>
    <rPh sb="3" eb="5">
      <t>トウロク</t>
    </rPh>
    <rPh sb="6" eb="8">
      <t>テジュン</t>
    </rPh>
    <rPh sb="9" eb="11">
      <t>セツメイ</t>
    </rPh>
    <rPh sb="282" eb="284">
      <t>ジッコウ</t>
    </rPh>
    <rPh sb="290" eb="292">
      <t>チュウイ</t>
    </rPh>
    <phoneticPr fontId="3"/>
  </si>
  <si>
    <t xml:space="preserve">・AI-01
</t>
    <phoneticPr fontId="3"/>
  </si>
  <si>
    <r>
      <t xml:space="preserve">ローカルリポジトリの作成手順を説明する。
</t>
    </r>
    <r>
      <rPr>
        <sz val="9"/>
        <color rgb="FFFF0000"/>
        <rFont val="Meiryo UI"/>
        <family val="3"/>
        <charset val="128"/>
      </rPr>
      <t>※ハンズオンとして実施する。</t>
    </r>
    <rPh sb="10" eb="12">
      <t>サクセイ</t>
    </rPh>
    <rPh sb="12" eb="14">
      <t>テジュン</t>
    </rPh>
    <rPh sb="15" eb="17">
      <t>セツメイ</t>
    </rPh>
    <phoneticPr fontId="3"/>
  </si>
  <si>
    <r>
      <t xml:space="preserve">最初のコミットの手順を説明する。
</t>
    </r>
    <r>
      <rPr>
        <sz val="9"/>
        <color rgb="FFFF0000"/>
        <rFont val="Meiryo UI"/>
        <family val="3"/>
        <charset val="128"/>
      </rPr>
      <t>※ハンズオンとして実施する。
※コメントは必須であることを強調する。</t>
    </r>
    <rPh sb="0" eb="2">
      <t>サイショ</t>
    </rPh>
    <rPh sb="8" eb="10">
      <t>テジュン</t>
    </rPh>
    <rPh sb="11" eb="13">
      <t>セツメイ</t>
    </rPh>
    <rPh sb="38" eb="40">
      <t>ヒッス</t>
    </rPh>
    <rPh sb="46" eb="48">
      <t>キョウチョウ</t>
    </rPh>
    <phoneticPr fontId="3"/>
  </si>
  <si>
    <r>
      <t xml:space="preserve">２回目以降のコミットの手順を説明する。
</t>
    </r>
    <r>
      <rPr>
        <sz val="9"/>
        <color rgb="FFFF0000"/>
        <rFont val="Meiryo UI"/>
        <family val="3"/>
        <charset val="128"/>
      </rPr>
      <t>※ハンズオンとして実施する。
※コメントは必須であることを強調する。</t>
    </r>
    <rPh sb="1" eb="3">
      <t>カイメ</t>
    </rPh>
    <rPh sb="3" eb="5">
      <t>イコウ</t>
    </rPh>
    <rPh sb="11" eb="13">
      <t>テジュン</t>
    </rPh>
    <rPh sb="14" eb="16">
      <t>セツメイ</t>
    </rPh>
    <rPh sb="41" eb="43">
      <t>ヒッス</t>
    </rPh>
    <rPh sb="49" eb="51">
      <t>キョウチョウ</t>
    </rPh>
    <phoneticPr fontId="3"/>
  </si>
  <si>
    <r>
      <t xml:space="preserve">過去のコミットの確認方法を説明する。
</t>
    </r>
    <r>
      <rPr>
        <sz val="9"/>
        <color rgb="FFFF0000"/>
        <rFont val="Meiryo UI"/>
        <family val="3"/>
        <charset val="128"/>
      </rPr>
      <t>※ハンズオンとして実施する。</t>
    </r>
    <rPh sb="0" eb="2">
      <t>カコ</t>
    </rPh>
    <rPh sb="8" eb="10">
      <t>カクニン</t>
    </rPh>
    <rPh sb="10" eb="12">
      <t>ホウホウ</t>
    </rPh>
    <rPh sb="13" eb="15">
      <t>セツメイ</t>
    </rPh>
    <phoneticPr fontId="3"/>
  </si>
  <si>
    <t>個人がローカル環境（ローカルリポジトリのみの運用）でGitを使う方法を説明する。
1. ファイルを編集（作業ディレクトリ）
   ・sample.txt を編集
2. 変更内容をステージに追加
   ・git add sample.txt
   ※コミットしたい変更を選択する
3. ステージされた変更を履歴として保存
   ・git commit -m "初回作成"
   ※ローカルリポジトリに保存する
4. 履歴を確認
   ・git log
5. 必要に応じて以前の状態へ戻す
   ・git reset
   ・git revert</t>
    <rPh sb="32" eb="34">
      <t>ホウホウ</t>
    </rPh>
    <rPh sb="35" eb="37">
      <t>セツメイ</t>
    </rPh>
    <phoneticPr fontId="3"/>
  </si>
  <si>
    <r>
      <t xml:space="preserve">戻す方法を説明する。
revert：履歴を残して変更を取り消す
reset：履歴を巻き戻す
</t>
    </r>
    <r>
      <rPr>
        <sz val="9"/>
        <color rgb="FFFF0000"/>
        <rFont val="Meiryo UI"/>
        <family val="3"/>
        <charset val="128"/>
      </rPr>
      <t>※ハンズオンとして実施する。</t>
    </r>
    <r>
      <rPr>
        <sz val="9"/>
        <rFont val="Meiryo UI"/>
        <family val="3"/>
        <charset val="128"/>
      </rPr>
      <t xml:space="preserve">
</t>
    </r>
    <rPh sb="0" eb="1">
      <t>モド</t>
    </rPh>
    <rPh sb="2" eb="4">
      <t>ホウホウ</t>
    </rPh>
    <rPh sb="5" eb="7">
      <t>セツメイ</t>
    </rPh>
    <phoneticPr fontId="3"/>
  </si>
  <si>
    <t>-</t>
    <phoneticPr fontId="3"/>
  </si>
  <si>
    <t>ソフトウェア開発ライフサイクル</t>
    <phoneticPr fontId="24"/>
  </si>
  <si>
    <t>ソフトウェア開発ライフサイクルの種類</t>
    <phoneticPr fontId="24"/>
  </si>
  <si>
    <t>TERASOLUNA 開発手順</t>
    <phoneticPr fontId="24"/>
  </si>
  <si>
    <t>プロジェクトごとのテーラリング</t>
    <phoneticPr fontId="24"/>
  </si>
  <si>
    <t>V字モデル　– 要求定義 –</t>
    <phoneticPr fontId="24"/>
  </si>
  <si>
    <t>「要求」と「要件」の違い</t>
    <phoneticPr fontId="24"/>
  </si>
  <si>
    <t xml:space="preserve">V字モデル　– システムテスト – </t>
    <phoneticPr fontId="24"/>
  </si>
  <si>
    <t xml:space="preserve">V字モデル　– 受入テスト – </t>
    <phoneticPr fontId="24"/>
  </si>
  <si>
    <t>参考：TERASOLUNA開発手順　タスクフロー</t>
    <phoneticPr fontId="24"/>
  </si>
  <si>
    <t>講義の目的</t>
    <phoneticPr fontId="24"/>
  </si>
  <si>
    <t>システム開発におけるソフトウェア開発ライフサイクル</t>
    <phoneticPr fontId="3"/>
  </si>
  <si>
    <t>TERASOLUNA 開発手順</t>
  </si>
  <si>
    <t>プロジェクトごとのテーラリング</t>
  </si>
  <si>
    <t>V字モデル　– 要求定義 –</t>
  </si>
  <si>
    <t>TERASOLUNAとは</t>
    <phoneticPr fontId="3"/>
  </si>
  <si>
    <t>V字モデル</t>
  </si>
  <si>
    <t>V字モデルとは</t>
    <phoneticPr fontId="3"/>
  </si>
  <si>
    <t>「要求」と「要件」の違い</t>
  </si>
  <si>
    <t>V字モデル</t>
    <phoneticPr fontId="24"/>
  </si>
  <si>
    <t>V字モデル　– 要求分析 –</t>
  </si>
  <si>
    <t>V字モデル　– 要求分析 –</t>
    <phoneticPr fontId="24"/>
  </si>
  <si>
    <t>V字モデル　– アーキテクチャ設計 –</t>
  </si>
  <si>
    <t>V字モデル　– アーキテクチャ設計 –</t>
    <phoneticPr fontId="24"/>
  </si>
  <si>
    <t>V字モデル　– 詳細設計 –</t>
  </si>
  <si>
    <t>V字モデル　– 詳細設計 –</t>
    <phoneticPr fontId="24"/>
  </si>
  <si>
    <t>V字モデル　– 製造 –</t>
  </si>
  <si>
    <t>V字モデル　– 製造 –</t>
    <phoneticPr fontId="24"/>
  </si>
  <si>
    <t>V字モデル　– 単体テスト –</t>
  </si>
  <si>
    <t>V字モデル　– 単体テスト –</t>
    <phoneticPr fontId="24"/>
  </si>
  <si>
    <t>V字モデル　– 結合テスト –</t>
    <phoneticPr fontId="24"/>
  </si>
  <si>
    <t xml:space="preserve">V字モデル　– システムテスト – </t>
  </si>
  <si>
    <t xml:space="preserve">V字モデル　– 受入テスト – </t>
  </si>
  <si>
    <t>参考：TERASOLUNA開発手順　タスクフロー</t>
  </si>
  <si>
    <t xml:space="preserve">以下を学習することを説明する。
・システム開発プロセスを理解する
本研修では以下を中心に学習することを説明する。
・製造工程（前半「Webアプリケーション開発-Java&amp;Spring&amp;DB」）
・単体テスト工程（後半「単体テストとJUnit」）
</t>
    <rPh sb="0" eb="2">
      <t>イカ</t>
    </rPh>
    <rPh sb="3" eb="5">
      <t>ガクシュウ</t>
    </rPh>
    <rPh sb="10" eb="12">
      <t>セツメイ</t>
    </rPh>
    <rPh sb="34" eb="37">
      <t>ホンケンシュウ</t>
    </rPh>
    <rPh sb="39" eb="41">
      <t>イカ</t>
    </rPh>
    <rPh sb="42" eb="44">
      <t>チュウシン</t>
    </rPh>
    <rPh sb="45" eb="47">
      <t>ガクシュウ</t>
    </rPh>
    <rPh sb="52" eb="54">
      <t>セツメイ</t>
    </rPh>
    <phoneticPr fontId="3"/>
  </si>
  <si>
    <t>ソフトウェア開発ライフサイクル（SDLC）とは、「要件定義、設計、製造、テスト、リリースなど、ソフトウェア開発における各工程と、それらの実施順序や関係性を定義したもの」のこと。</t>
    <rPh sb="33" eb="35">
      <t>セイゾウ</t>
    </rPh>
    <phoneticPr fontId="3"/>
  </si>
  <si>
    <t xml:space="preserve">・AI-01
</t>
    <phoneticPr fontId="3"/>
  </si>
  <si>
    <t xml:space="preserve">各ソフトウェア開発モデルの種類を説明する。
■ウォーターフォール開発
　ソフトウェア開発の工程を前から順番に進めていく直線的なモデル
　アジャイルソフトウェア開発：短いサイクルで設計・実装・テストを繰り返しながら、変化に柔軟に対応して進める反復型・適応型のモデル
　TERASOLUNA開発手順は、ウォーターフォール開発の一つである。
■スクラム開発
　アジャイルソフトウェア開発の代表的な手法の一つ。短い期間（スプリント）ごとに、設計・実装・テストを繰り返しながら機能を完成させていく開発手法。
重視する4つの価値
　・プロセスやツールよりも、個人と対話を重視する
　・包括的なドキュメントよりも、動くソフトウェアを重視する
　・契約交渉よりも、顧客との協調を重視する
　・計画に従うことよりも、変化への対応を重視する
スクラムアカウンタビリティ（役割）の種類
　・スクラムマスター：スクラムの進行を支援し、チームが円滑に活動できるようサポートする
　・プロダクトオーナー：開発する機能や優先順位を決定し、プロダクトの価値を最大化する
　・開発者：設計・実装・テストを行い、成果物を作成する
</t>
    <rPh sb="0" eb="1">
      <t>カク</t>
    </rPh>
    <rPh sb="7" eb="9">
      <t>カイハツ</t>
    </rPh>
    <rPh sb="13" eb="15">
      <t>シュルイ</t>
    </rPh>
    <rPh sb="16" eb="18">
      <t>セツメイ</t>
    </rPh>
    <rPh sb="157" eb="159">
      <t>カイハツ</t>
    </rPh>
    <rPh sb="160" eb="161">
      <t>ヒト</t>
    </rPh>
    <rPh sb="377" eb="379">
      <t>ヤクワリ</t>
    </rPh>
    <rPh sb="381" eb="383">
      <t>シュルイ</t>
    </rPh>
    <phoneticPr fontId="3"/>
  </si>
  <si>
    <t>TERASOLUNAとは、「NTTD社が提供するオープン系システム開発のための総合ソリューションの総称」のこと。
その一つである「TERASOLUNA開発標準」は、要求定義から受入テストまでを対象としたシステム開発手順を提供しており、品質を確保するためにV字モデルを採用している。
TERASOLUNAが提供する主な内容
・開発手順（プロセス）
　要求定義から受入テストまでの開発プロセスや成果物の作成方法を提供
・開発環境
　フレームワーク、ライブラリ、IDEなどの開発基盤を提供
・サポート
　技術情報、Q&amp;A、教育・研修などの支援を提供</t>
    <phoneticPr fontId="3"/>
  </si>
  <si>
    <t>「TERASOLUNA」により開発手順、開発環境、成果物などを標準化している。
しかし、すべてのプロジェクトに同じ手順やルールを適用すると、プロジェクトの特性によっては開発効率の低下や進行の妨げとなる場合がある。
↓
そのため、プロジェクトの規模や特性に応じて標準を調整する「テーラリング」が認められている。
※テーラリング：標準プロセスをそのまま適用するのではなく、プロジェクトの特性に合わせて最適化することである。
また、生成AIを活用した「AIネイティブ開発」では、従来の開発プロセスとは異なる考慮が必要となる。
そのため、TERASOLUNAで定められた開発手順や成果物についても、生成AIの特性を踏まえたテーラリングが求められる。</t>
    <phoneticPr fontId="3"/>
  </si>
  <si>
    <t>V字モデルとは、「開発工程とテスト工程の対応関係をV字型で表現した開発モデル」のこと。
TERASOLUNA開発手順では、要求定義から受入テストまでの8つのフェーズを対象にV字モデルを採用し、各設計工程の成果物を対応するテスト工程で検証することで品質を確保している。
※品質の作りこみVS製造・テスト
■メリット
・各フェーズが明確で、進捗管理がしやすい
・設計内容とテスト内容の対応関係が明確で、品質を確保しやすい
・フェーズごとに成果物を確認するため、問題を早期に発見しやすい
■デメリット
・各フェーズが順序立てて実施され、途中での開始/終了ができない
・前のフェーズの成果物をインプットにしているため、複数フェーズを同時進行できない</t>
    <rPh sb="136" eb="138">
      <t>ヒンシツ</t>
    </rPh>
    <rPh sb="139" eb="140">
      <t>ツク</t>
    </rPh>
    <rPh sb="145" eb="147">
      <t>セイゾウ</t>
    </rPh>
    <phoneticPr fontId="3"/>
  </si>
  <si>
    <t>要求定義フェーズについて説明する。
顧客の抱える問題・課題や目指す将来像を踏まえ、システム化の目的や解決方針を明確にするフェーズ。
顧客や利害関係者との対話を通じて要求を収集・整理し、システムに求められる機能や制約条件を要求仕様として文書化する。
実施順序
　情報収集　→　検討　→　提案</t>
    <rPh sb="12" eb="14">
      <t>セツメイ</t>
    </rPh>
    <rPh sb="125" eb="127">
      <t>ジッシ</t>
    </rPh>
    <rPh sb="127" eb="129">
      <t>ジュンジョ</t>
    </rPh>
    <rPh sb="131" eb="133">
      <t>ジョウホウ</t>
    </rPh>
    <rPh sb="133" eb="135">
      <t>シュウシュウ</t>
    </rPh>
    <rPh sb="138" eb="140">
      <t>ケントウ</t>
    </rPh>
    <rPh sb="143" eb="145">
      <t>テイアン</t>
    </rPh>
    <phoneticPr fontId="3"/>
  </si>
  <si>
    <t>要求と要件の違いを説明する。
・要求（Requirement）
　顧客やユーザーが実現したいこと、解決したい課題、期待する結果。
　「何を実現したいか」を表す。
・要件（System Requirement）
　要求を実現するために、システムが満たすべき具体的な条件や機能。
　「何を備える必要があるか」を表す。</t>
    <rPh sb="3" eb="5">
      <t>ヨウケン</t>
    </rPh>
    <rPh sb="6" eb="7">
      <t>チガ</t>
    </rPh>
    <rPh sb="9" eb="11">
      <t>セツメイ</t>
    </rPh>
    <phoneticPr fontId="3"/>
  </si>
  <si>
    <t xml:space="preserve">・AI-01
</t>
    <phoneticPr fontId="3"/>
  </si>
  <si>
    <r>
      <t xml:space="preserve">要求分析フェーズについて説明する。
顧客と合意した要求を分析・整理し、システムとして実現すべき要件を明確化するフェーズ。
要求分析では、要求を機能要求と非機能要求に分類し、システムに必要な要件を定義する。
・機能要求
　システムがユーザーに対して提供する機能やサービスに関する要件。
　例：ユーザ登録機能、商品検索機能など
・非機能要求
　機能以外の品質や運用に関する要件。
　例：可用性、性能・拡張性、運用・保守性、セキュリティなど
業務フロー定義の概要を説明する。
</t>
    </r>
    <r>
      <rPr>
        <sz val="9"/>
        <color rgb="FFFF0000"/>
        <rFont val="Meiryo UI"/>
        <family val="3"/>
        <charset val="128"/>
      </rPr>
      <t xml:space="preserve">※タスクやアクティビティという言葉は触れない。
</t>
    </r>
    <r>
      <rPr>
        <sz val="9"/>
        <rFont val="Meiryo UI"/>
        <family val="3"/>
        <charset val="128"/>
      </rPr>
      <t xml:space="preserve">
成果物の概要を説明する。
・業務フロー図
・ユースケース定義書
・画面遷移図
・画面定義書
・外部IF定義書
・ER図
・エンティティ定義書</t>
    </r>
    <rPh sb="2" eb="4">
      <t>ブンセキ</t>
    </rPh>
    <rPh sb="12" eb="14">
      <t>セツメイ</t>
    </rPh>
    <rPh sb="149" eb="151">
      <t>トウロク</t>
    </rPh>
    <rPh sb="154" eb="156">
      <t>ショウヒン</t>
    </rPh>
    <rPh sb="156" eb="158">
      <t>ケンサク</t>
    </rPh>
    <rPh sb="221" eb="223">
      <t>ギョウム</t>
    </rPh>
    <rPh sb="226" eb="228">
      <t>テイギ</t>
    </rPh>
    <rPh sb="229" eb="231">
      <t>ガイヨウ</t>
    </rPh>
    <rPh sb="232" eb="234">
      <t>セツメイ</t>
    </rPh>
    <rPh sb="263" eb="266">
      <t>セイカブツ</t>
    </rPh>
    <rPh sb="267" eb="269">
      <t>ガイヨウ</t>
    </rPh>
    <rPh sb="270" eb="272">
      <t>セツメイ</t>
    </rPh>
    <rPh sb="282" eb="283">
      <t>ズ</t>
    </rPh>
    <rPh sb="291" eb="293">
      <t>テイギ</t>
    </rPh>
    <rPh sb="293" eb="294">
      <t>ショ</t>
    </rPh>
    <rPh sb="296" eb="298">
      <t>ガメン</t>
    </rPh>
    <rPh sb="298" eb="301">
      <t>センイズ</t>
    </rPh>
    <rPh sb="303" eb="305">
      <t>ガメン</t>
    </rPh>
    <rPh sb="310" eb="312">
      <t>ガイブ</t>
    </rPh>
    <rPh sb="314" eb="316">
      <t>テイギ</t>
    </rPh>
    <rPh sb="316" eb="317">
      <t>ショ</t>
    </rPh>
    <rPh sb="321" eb="322">
      <t>ズ</t>
    </rPh>
    <phoneticPr fontId="3"/>
  </si>
  <si>
    <t>アーキテクチャ設計フェーズについて説明する。
要求分析フェーズで定義した要件を実現するための実現方法（入出力、処理、データ構造など）を決めるフェーズ。
要求定義の成果物（定義書）→アーキテクチャ設計→XXX設計書
成果物の概要を説明する。
・オンライン処理設計書
・画面設計書
・画面定義書
・外部IF設計書
・テーブル設計書</t>
    <rPh sb="7" eb="9">
      <t>セッケイ</t>
    </rPh>
    <rPh sb="17" eb="19">
      <t>セツメイ</t>
    </rPh>
    <rPh sb="76" eb="80">
      <t>ヨウキュウテイギ</t>
    </rPh>
    <rPh sb="81" eb="84">
      <t>セイカブツ</t>
    </rPh>
    <rPh sb="85" eb="87">
      <t>テイギ</t>
    </rPh>
    <rPh sb="87" eb="88">
      <t>ショ</t>
    </rPh>
    <rPh sb="97" eb="99">
      <t>セッケイ</t>
    </rPh>
    <rPh sb="103" eb="106">
      <t>セッケイショ</t>
    </rPh>
    <rPh sb="108" eb="111">
      <t>セイカブツ</t>
    </rPh>
    <rPh sb="112" eb="114">
      <t>ガイヨウ</t>
    </rPh>
    <rPh sb="115" eb="117">
      <t>セツメイ</t>
    </rPh>
    <rPh sb="134" eb="136">
      <t>ガメン</t>
    </rPh>
    <rPh sb="136" eb="139">
      <t>セッケイショ</t>
    </rPh>
    <rPh sb="141" eb="143">
      <t>ガメン</t>
    </rPh>
    <rPh sb="148" eb="150">
      <t>ガイブ</t>
    </rPh>
    <rPh sb="152" eb="155">
      <t>セッケイショ</t>
    </rPh>
    <rPh sb="161" eb="164">
      <t>セッケイショ</t>
    </rPh>
    <phoneticPr fontId="3"/>
  </si>
  <si>
    <t>詳細設計フェーズについて説明する。
アーキテクチャ設計を元に、そのまま開発できるレベルまで詳細化するフェーズ。
※独自に設計書を書き起こす必要がないと判断され、省略されることが多い
成果物の概要を説明する。
・ユニット設計書</t>
    <rPh sb="0" eb="2">
      <t>ショウサイ</t>
    </rPh>
    <rPh sb="2" eb="4">
      <t>セッケイ</t>
    </rPh>
    <rPh sb="12" eb="14">
      <t>セツメイ</t>
    </rPh>
    <rPh sb="92" eb="95">
      <t>セイカブツ</t>
    </rPh>
    <rPh sb="96" eb="98">
      <t>ガイヨウ</t>
    </rPh>
    <rPh sb="99" eb="101">
      <t>セツメイ</t>
    </rPh>
    <rPh sb="110" eb="113">
      <t>セッケイショ</t>
    </rPh>
    <phoneticPr fontId="3"/>
  </si>
  <si>
    <t>製造フェーズについて説明する。
詳細設計通りに動作するプログラムコードを作成するフェーズ。
成果物の概要を説明する。
・プログラムコード</t>
    <rPh sb="0" eb="2">
      <t>セイゾウ</t>
    </rPh>
    <rPh sb="10" eb="12">
      <t>セツメイ</t>
    </rPh>
    <rPh sb="47" eb="50">
      <t>セイカブツ</t>
    </rPh>
    <rPh sb="51" eb="53">
      <t>ガイヨウ</t>
    </rPh>
    <rPh sb="54" eb="56">
      <t>セツメイ</t>
    </rPh>
    <phoneticPr fontId="3"/>
  </si>
  <si>
    <t>単体テストフェーズについて説明する。
アプリケーションが詳細設計通りに動作するかを確認するフェーズ。
成果物の概要を説明する。
・ユニット計画書
・ユニットテストケース表
・ユニットテストコード
・ユニットテスト手順書</t>
    <rPh sb="0" eb="2">
      <t>タンタイ</t>
    </rPh>
    <rPh sb="13" eb="15">
      <t>セツメイ</t>
    </rPh>
    <rPh sb="46" eb="49">
      <t>セイカブツ</t>
    </rPh>
    <rPh sb="50" eb="52">
      <t>ガイヨウ</t>
    </rPh>
    <rPh sb="53" eb="55">
      <t>セツメイ</t>
    </rPh>
    <rPh sb="70" eb="73">
      <t>ケイカクショ</t>
    </rPh>
    <rPh sb="85" eb="86">
      <t>ヒョウ</t>
    </rPh>
    <rPh sb="107" eb="110">
      <t>テジュンショ</t>
    </rPh>
    <phoneticPr fontId="3"/>
  </si>
  <si>
    <t>V字モデル　– 結合テスト –</t>
    <phoneticPr fontId="3"/>
  </si>
  <si>
    <t>結合テストフェーズについて説明する。
アプリケーションが要件/設計通りに動作するかを確認するフェーズ。
テストの種類が分かれていることを説明する。
・処理テスト：処理設計の妥当性を検証する。
・ユースケーステスト：ユースケース定義の妥当性を検証する。
・業務テスト：業務定義の妥当性を検証する。
※システムの詳細な部分からテストを実施し、テスト対象範囲を少しずつ広くしていく</t>
    <rPh sb="0" eb="2">
      <t>ケツゴウ</t>
    </rPh>
    <rPh sb="13" eb="15">
      <t>セツメイ</t>
    </rPh>
    <rPh sb="47" eb="50">
      <t>セイカブツ</t>
    </rPh>
    <rPh sb="51" eb="53">
      <t>ガイヨウ</t>
    </rPh>
    <rPh sb="57" eb="59">
      <t>シュルイ</t>
    </rPh>
    <rPh sb="60" eb="61">
      <t>ワ</t>
    </rPh>
    <rPh sb="82" eb="84">
      <t>ショリ</t>
    </rPh>
    <rPh sb="84" eb="86">
      <t>セッケイ</t>
    </rPh>
    <rPh sb="87" eb="90">
      <t>ダトウセイ</t>
    </rPh>
    <rPh sb="91" eb="93">
      <t>ケンショウ</t>
    </rPh>
    <rPh sb="114" eb="116">
      <t>テイギ</t>
    </rPh>
    <rPh sb="128" eb="130">
      <t>ギョウム</t>
    </rPh>
    <rPh sb="134" eb="136">
      <t>ギョウム</t>
    </rPh>
    <rPh sb="136" eb="138">
      <t>テイギ</t>
    </rPh>
    <phoneticPr fontId="3"/>
  </si>
  <si>
    <t xml:space="preserve">システムテストフェーズについて説明する。
システム基盤とアプリケーションを結合したシステム全体に対して、機能要求と非機能要求を満たすかどうかを確認するフェーズ。
機能要求を満たしているかを確認するテストのほかに、性能テスト、負荷テスト、ユーザビリティテストなどの非機能要求に対するテストを実施する。
</t>
    <rPh sb="15" eb="17">
      <t>セツメイ</t>
    </rPh>
    <phoneticPr fontId="3"/>
  </si>
  <si>
    <t>受入テストフェーズについて説明する。
システム移行準備とシステムテストが完了したシステムに対して、顧客と最終確認を行い、本番移行を実施するフェーズ。
主要な作業を説明する。
・移行計画と設計
・移行支援ツール等の開発
・移行テストの計画、設計、実施
・受入テストの計画、設計、実施
・移行リハーサル実施
・移行実施</t>
    <rPh sb="0" eb="2">
      <t>ウケイレ</t>
    </rPh>
    <rPh sb="13" eb="15">
      <t>セツメイ</t>
    </rPh>
    <rPh sb="76" eb="78">
      <t>シュヨウ</t>
    </rPh>
    <rPh sb="79" eb="81">
      <t>サギョウ</t>
    </rPh>
    <rPh sb="82" eb="84">
      <t>セツメイ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</si>
</sst>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8"/>
      <name val="ＭＳ Ｐゴシック"/>
      <family val="3"/>
      <charset val="128"/>
    </font>
    <font>
      <b/>
      <sz val="8"/>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40">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5"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20" fontId="5" fillId="0" borderId="0" xfId="0" applyNumberFormat="1" applyFont="1" applyAlignment="1">
      <alignment horizontal="center" vertical="top"/>
    </xf>
    <xf numFmtId="20" fontId="16" fillId="0" borderId="0" xfId="0" applyNumberFormat="1" applyFont="1" applyAlignment="1">
      <alignment horizontal="center" vertical="top"/>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6" borderId="5"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0" fontId="5" fillId="6" borderId="0" xfId="3" applyFont="1" applyFill="1" applyBorder="1" applyAlignment="1">
      <alignment horizontal="left" vertical="top" wrapText="1"/>
    </xf>
    <xf numFmtId="20" fontId="5" fillId="6" borderId="1" xfId="0" applyNumberFormat="1" applyFont="1" applyFill="1" applyBorder="1" applyAlignment="1">
      <alignment horizontal="right" vertical="top" wrapText="1"/>
    </xf>
    <xf numFmtId="20" fontId="5" fillId="6" borderId="5"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15" xfId="0" applyFont="1" applyFill="1" applyBorder="1" applyAlignment="1">
      <alignment vertical="top" wrapText="1"/>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0" borderId="1" xfId="0" quotePrefix="1" applyFont="1" applyBorder="1">
      <alignment vertical="center"/>
    </xf>
    <xf numFmtId="0" fontId="22" fillId="0" borderId="0" xfId="0" applyFont="1">
      <alignment vertical="center"/>
    </xf>
    <xf numFmtId="0" fontId="23" fillId="0" borderId="0" xfId="0" applyFont="1">
      <alignmen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0" fontId="5" fillId="6" borderId="3" xfId="3"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22" fillId="10" borderId="0" xfId="0" applyFont="1" applyFill="1">
      <alignment vertical="center"/>
    </xf>
    <xf numFmtId="0" fontId="5" fillId="9" borderId="9" xfId="0" applyFont="1" applyFill="1" applyBorder="1" applyAlignment="1">
      <alignment vertical="center" textRotation="255"/>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22" fillId="0" borderId="0" xfId="0" applyNumberFormat="1" applyFont="1" applyAlignment="1">
      <alignment horizontal="left" vertical="top"/>
    </xf>
    <xf numFmtId="20" fontId="22" fillId="0" borderId="0" xfId="0" applyNumberFormat="1" applyFont="1" applyAlignment="1">
      <alignment horizontal="left" vertical="top" wrapText="1"/>
    </xf>
    <xf numFmtId="0" fontId="22" fillId="0" borderId="0" xfId="0" applyFont="1" applyAlignment="1">
      <alignment horizontal="left" vertical="top"/>
    </xf>
    <xf numFmtId="20" fontId="5" fillId="4" borderId="1" xfId="0" applyNumberFormat="1" applyFont="1" applyFill="1" applyBorder="1" applyAlignment="1">
      <alignment horizontal="left" vertical="top" wrapText="1"/>
    </xf>
    <xf numFmtId="0" fontId="5" fillId="4" borderId="1" xfId="0" applyFont="1" applyFill="1" applyBorder="1" applyAlignment="1">
      <alignment horizontal="left" vertical="top" textRotation="255" wrapText="1"/>
    </xf>
    <xf numFmtId="20" fontId="16" fillId="0" borderId="0" xfId="0" applyNumberFormat="1" applyFont="1" applyAlignment="1">
      <alignment horizontal="center" vertical="top"/>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8" xfId="0" applyFont="1" applyFill="1" applyBorder="1" applyAlignment="1">
      <alignment horizontal="center" vertical="top" textRotation="255" wrapText="1"/>
    </xf>
    <xf numFmtId="0" fontId="5" fillId="4" borderId="9" xfId="0" applyFont="1" applyFill="1" applyBorder="1" applyAlignment="1">
      <alignment horizontal="center" vertical="top" textRotation="255" wrapText="1"/>
    </xf>
    <xf numFmtId="0" fontId="5" fillId="4" borderId="10" xfId="0" applyFont="1" applyFill="1" applyBorder="1" applyAlignment="1">
      <alignment horizontal="center" vertical="top" textRotation="255"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view="pageBreakPreview" zoomScaleNormal="115" zoomScaleSheetLayoutView="100" workbookViewId="0">
      <selection activeCell="E11" sqref="E11"/>
    </sheetView>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106" t="str">
        <f>"コースプラン/インストラクションガイド 「"&amp;master!$B$1&amp;"_IG」"</f>
        <v>コースプラン/インストラクションガイド 「AI Native-バイブコーディング_IG」</v>
      </c>
      <c r="C2" s="106"/>
      <c r="D2" s="106"/>
      <c r="E2" s="106"/>
      <c r="F2" s="106"/>
      <c r="G2" s="106"/>
    </row>
    <row r="3" spans="1:8" ht="27.6" thickBot="1">
      <c r="A3" s="13"/>
      <c r="B3" s="15"/>
      <c r="C3" s="13"/>
      <c r="D3" s="13"/>
      <c r="E3" s="13"/>
      <c r="F3" s="13"/>
      <c r="G3" s="13"/>
    </row>
    <row r="4" spans="1:8" ht="27.6" thickBot="1">
      <c r="A4" s="13"/>
      <c r="B4" s="107" t="s">
        <v>12</v>
      </c>
      <c r="C4" s="108"/>
      <c r="D4" s="13"/>
      <c r="E4" s="13"/>
      <c r="F4" s="13"/>
      <c r="G4" s="13"/>
    </row>
    <row r="5" spans="1:8" ht="27.6" thickBot="1">
      <c r="A5" s="13"/>
      <c r="B5" s="109"/>
      <c r="C5" s="110"/>
      <c r="D5" s="13"/>
      <c r="E5" s="13"/>
      <c r="F5" s="13"/>
      <c r="G5" s="13"/>
    </row>
    <row r="7" spans="1:8" ht="16.2">
      <c r="B7" s="111" t="s">
        <v>2</v>
      </c>
      <c r="C7" s="111"/>
    </row>
    <row r="9" spans="1:8">
      <c r="B9" s="27"/>
      <c r="C9" s="27" t="s">
        <v>0</v>
      </c>
      <c r="G9" s="14"/>
    </row>
    <row r="10" spans="1:8" ht="14.25" customHeight="1">
      <c r="A10" s="40">
        <v>0.39583333333333331</v>
      </c>
      <c r="B10" s="17">
        <v>0.39583333333333331</v>
      </c>
      <c r="C10" s="89" t="s">
        <v>3</v>
      </c>
      <c r="G10" s="14" t="s">
        <v>13</v>
      </c>
    </row>
    <row r="11" spans="1:8">
      <c r="A11" s="42"/>
      <c r="B11" s="72">
        <v>0.40625</v>
      </c>
      <c r="C11" s="86" t="str">
        <f>master!B3</f>
        <v>講義の目的</v>
      </c>
      <c r="G11" s="14"/>
    </row>
    <row r="12" spans="1:8">
      <c r="A12" s="40">
        <v>0.41666666666666669</v>
      </c>
      <c r="B12" s="83"/>
      <c r="C12" s="87"/>
      <c r="G12" s="14" t="s">
        <v>13</v>
      </c>
    </row>
    <row r="13" spans="1:8">
      <c r="A13" s="41"/>
      <c r="B13" s="84"/>
      <c r="C13" s="88"/>
      <c r="F13" s="26"/>
      <c r="H13" s="6"/>
    </row>
    <row r="14" spans="1:8">
      <c r="A14" s="41"/>
      <c r="B14" s="40">
        <v>0.4375</v>
      </c>
      <c r="C14" s="86" t="str">
        <f>master!B4</f>
        <v>Webアプリケーションとは</v>
      </c>
      <c r="F14" s="105"/>
      <c r="H14" s="6"/>
    </row>
    <row r="15" spans="1:8">
      <c r="A15" s="42"/>
      <c r="B15" s="56" t="s">
        <v>31</v>
      </c>
      <c r="C15" s="87"/>
      <c r="F15" s="105"/>
      <c r="H15" s="6"/>
    </row>
    <row r="16" spans="1:8">
      <c r="A16" s="40">
        <v>0.45833333333333331</v>
      </c>
      <c r="B16" s="44"/>
      <c r="C16" s="88"/>
      <c r="F16" s="105"/>
      <c r="H16" s="6"/>
    </row>
    <row r="17" spans="1:8">
      <c r="A17" s="41"/>
      <c r="B17" s="43">
        <v>0.46875</v>
      </c>
      <c r="C17" s="86">
        <f>master!B13</f>
        <v>0</v>
      </c>
      <c r="F17" s="105"/>
      <c r="H17" s="6"/>
    </row>
    <row r="18" spans="1:8">
      <c r="A18" s="41"/>
      <c r="B18" s="44"/>
      <c r="C18" s="88"/>
      <c r="F18" s="105"/>
      <c r="H18" s="6"/>
    </row>
    <row r="19" spans="1:8">
      <c r="A19" s="42"/>
      <c r="B19" s="45">
        <v>0.48958333333333331</v>
      </c>
      <c r="C19" s="85">
        <f>master!B18</f>
        <v>0</v>
      </c>
      <c r="F19" s="105"/>
      <c r="H19" s="6"/>
    </row>
    <row r="20" spans="1:8">
      <c r="A20" s="69">
        <v>0.5</v>
      </c>
      <c r="B20" s="69">
        <v>0.5</v>
      </c>
      <c r="C20" s="86">
        <f>master!B23</f>
        <v>0</v>
      </c>
      <c r="F20" s="105"/>
      <c r="H20" s="6"/>
    </row>
    <row r="21" spans="1:8">
      <c r="A21" s="61"/>
      <c r="B21" s="63"/>
      <c r="C21" s="88"/>
      <c r="F21" s="105"/>
      <c r="H21" s="6"/>
    </row>
    <row r="22" spans="1:8">
      <c r="A22" s="41"/>
      <c r="B22" s="41">
        <v>0.52083333333333337</v>
      </c>
      <c r="C22" s="90" t="s">
        <v>1</v>
      </c>
      <c r="F22" s="25"/>
      <c r="G22" s="10"/>
      <c r="H22" s="6"/>
    </row>
    <row r="23" spans="1:8">
      <c r="A23" s="42"/>
      <c r="B23" s="41" t="s">
        <v>31</v>
      </c>
      <c r="C23" s="91"/>
      <c r="F23" s="25"/>
      <c r="G23" s="10"/>
      <c r="H23" s="6"/>
    </row>
    <row r="24" spans="1:8">
      <c r="A24" s="40">
        <v>0.54166666666666663</v>
      </c>
      <c r="B24" s="41" t="s">
        <v>31</v>
      </c>
      <c r="C24" s="91"/>
      <c r="F24" s="25"/>
      <c r="G24" s="10"/>
      <c r="H24" s="6"/>
    </row>
    <row r="25" spans="1:8">
      <c r="A25" s="41"/>
      <c r="B25" s="42" t="s">
        <v>31</v>
      </c>
      <c r="C25" s="92"/>
      <c r="F25" s="25"/>
      <c r="G25" s="10"/>
      <c r="H25" s="6"/>
    </row>
    <row r="26" spans="1:8">
      <c r="A26" s="41"/>
      <c r="B26" s="45">
        <v>0.5625</v>
      </c>
      <c r="C26" s="88"/>
      <c r="F26" s="105"/>
      <c r="G26" s="14"/>
      <c r="H26" s="6"/>
    </row>
    <row r="27" spans="1:8">
      <c r="A27" s="42"/>
      <c r="B27" s="43">
        <v>0.57291666666666663</v>
      </c>
      <c r="C27" s="86" t="e">
        <f>master!#REF!</f>
        <v>#REF!</v>
      </c>
      <c r="F27" s="105"/>
      <c r="G27" s="14"/>
      <c r="H27" s="6"/>
    </row>
    <row r="28" spans="1:8">
      <c r="A28" s="40">
        <v>0.58333333333333337</v>
      </c>
      <c r="B28" s="44"/>
      <c r="C28" s="88"/>
      <c r="F28" s="105"/>
      <c r="H28" s="6"/>
    </row>
    <row r="29" spans="1:8">
      <c r="A29" s="41"/>
      <c r="B29" s="43">
        <v>0.59375</v>
      </c>
      <c r="C29" s="71" t="e">
        <f>master!#REF!</f>
        <v>#REF!</v>
      </c>
      <c r="D29" s="60"/>
      <c r="E29" s="57"/>
      <c r="F29" s="105"/>
      <c r="H29" s="6"/>
    </row>
    <row r="30" spans="1:8">
      <c r="A30" s="41"/>
      <c r="B30" s="45"/>
      <c r="C30" s="64"/>
      <c r="D30" s="60"/>
      <c r="E30" s="57"/>
      <c r="F30" s="105"/>
      <c r="H30" s="6"/>
    </row>
    <row r="31" spans="1:8">
      <c r="A31" s="42"/>
      <c r="B31" s="45"/>
      <c r="C31" s="64"/>
      <c r="D31" s="60"/>
      <c r="E31" s="11"/>
      <c r="F31" s="105"/>
      <c r="H31" s="6"/>
    </row>
    <row r="32" spans="1:8">
      <c r="A32" s="69">
        <v>0.625</v>
      </c>
      <c r="B32" s="45"/>
      <c r="C32" s="64"/>
      <c r="D32" s="60"/>
      <c r="E32" s="11"/>
      <c r="F32" s="105"/>
      <c r="H32" s="6"/>
    </row>
    <row r="33" spans="1:8">
      <c r="A33" s="61"/>
      <c r="B33" s="44"/>
      <c r="C33" s="64"/>
      <c r="D33" s="60"/>
      <c r="E33" s="57"/>
      <c r="F33" s="105"/>
      <c r="H33" s="6"/>
    </row>
    <row r="34" spans="1:8">
      <c r="A34" s="61"/>
      <c r="B34" s="43">
        <v>0.60416666666666663</v>
      </c>
      <c r="C34" s="71" t="e">
        <f>master!#REF!</f>
        <v>#REF!</v>
      </c>
      <c r="D34" s="60"/>
      <c r="E34" s="57"/>
      <c r="F34" s="105"/>
      <c r="H34" s="6"/>
    </row>
    <row r="35" spans="1:8">
      <c r="A35" s="42"/>
      <c r="B35" s="45"/>
      <c r="C35" s="64"/>
      <c r="D35" s="60"/>
      <c r="E35" s="57"/>
      <c r="F35" s="105"/>
      <c r="H35" s="6"/>
    </row>
    <row r="36" spans="1:8">
      <c r="A36" s="40">
        <v>0.66666666666666663</v>
      </c>
      <c r="B36" s="45"/>
      <c r="C36" s="64"/>
      <c r="D36" s="60"/>
      <c r="E36" s="11"/>
      <c r="F36" s="105"/>
      <c r="H36" s="6"/>
    </row>
    <row r="37" spans="1:8">
      <c r="A37" s="41"/>
      <c r="B37" s="45"/>
      <c r="C37" s="64"/>
      <c r="D37" s="60"/>
      <c r="E37" s="11"/>
      <c r="F37" s="105"/>
      <c r="H37" s="6"/>
    </row>
    <row r="38" spans="1:8">
      <c r="A38" s="41"/>
      <c r="B38" s="45"/>
      <c r="C38" s="64"/>
      <c r="D38" s="60"/>
      <c r="E38" s="11"/>
      <c r="F38" s="105"/>
      <c r="H38" s="6"/>
    </row>
    <row r="39" spans="1:8">
      <c r="A39" s="41"/>
      <c r="B39" s="44"/>
      <c r="C39" s="70"/>
      <c r="D39" s="60"/>
      <c r="E39" s="11"/>
      <c r="F39" s="105"/>
      <c r="H39" s="6"/>
    </row>
    <row r="40" spans="1:8">
      <c r="A40" s="43">
        <v>0.70833333333333337</v>
      </c>
      <c r="B40" s="43">
        <v>0.70833333333333337</v>
      </c>
      <c r="C40" s="64" t="s">
        <v>62</v>
      </c>
      <c r="D40" s="60"/>
      <c r="E40" s="57"/>
      <c r="F40" s="105"/>
      <c r="H40" s="6"/>
    </row>
    <row r="41" spans="1:8">
      <c r="A41" s="41"/>
      <c r="B41" s="45"/>
      <c r="C41" s="64"/>
      <c r="D41" s="62"/>
      <c r="E41" s="58"/>
      <c r="F41" s="105"/>
      <c r="H41" s="6"/>
    </row>
    <row r="42" spans="1:8">
      <c r="A42" s="45"/>
      <c r="B42" s="44"/>
      <c r="C42" s="65"/>
      <c r="D42" s="60"/>
      <c r="E42" s="58"/>
      <c r="F42" s="105"/>
      <c r="H42" s="6"/>
    </row>
    <row r="43" spans="1:8" ht="14.25" customHeight="1">
      <c r="A43" s="44"/>
      <c r="B43" s="94">
        <v>0.73958333333333337</v>
      </c>
      <c r="C43" s="93" t="s">
        <v>61</v>
      </c>
      <c r="D43" s="61"/>
      <c r="E43" s="59"/>
      <c r="F43" s="25"/>
      <c r="G43" s="14" t="s">
        <v>13</v>
      </c>
    </row>
    <row r="44" spans="1:8" ht="15.6" thickBot="1">
      <c r="A44" s="6"/>
      <c r="D44" s="23"/>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4"/>
  <sheetViews>
    <sheetView showGridLines="0" view="pageBreakPreview" zoomScaleNormal="100" zoomScaleSheetLayoutView="10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30" customWidth="1"/>
    <col min="9" max="10" width="6.6640625" style="10" customWidth="1"/>
    <col min="11" max="11" width="38.44140625" style="1" customWidth="1"/>
    <col min="12" max="12" width="4.6640625" style="1" customWidth="1"/>
    <col min="13" max="16384" width="9" style="6"/>
  </cols>
  <sheetData>
    <row r="2" spans="1:12" s="34" customFormat="1" ht="36.75" customHeight="1">
      <c r="B2" s="2" t="s">
        <v>29</v>
      </c>
      <c r="C2" s="2"/>
      <c r="D2" s="35"/>
      <c r="E2" s="35"/>
      <c r="F2" s="35"/>
      <c r="G2" s="2"/>
      <c r="H2" s="28"/>
      <c r="I2" s="35"/>
      <c r="J2" s="35"/>
      <c r="K2" s="2"/>
    </row>
    <row r="3" spans="1:12">
      <c r="C3" s="7"/>
      <c r="D3" s="8"/>
      <c r="E3" s="8"/>
      <c r="F3" s="8"/>
      <c r="G3" s="7"/>
      <c r="H3" s="29"/>
      <c r="I3" s="19"/>
      <c r="J3" s="19"/>
      <c r="K3" s="9"/>
    </row>
    <row r="4" spans="1:12" ht="16.2">
      <c r="B4" s="117" t="s">
        <v>4</v>
      </c>
      <c r="C4" s="117"/>
      <c r="D4" s="8"/>
      <c r="E4" s="8"/>
      <c r="F4" s="8"/>
      <c r="G4" s="7"/>
      <c r="H4" s="29"/>
      <c r="I4" s="19"/>
      <c r="J4" s="19"/>
      <c r="K4" s="9"/>
    </row>
    <row r="5" spans="1:12" ht="36" customHeight="1">
      <c r="B5" s="118"/>
      <c r="C5" s="118"/>
      <c r="D5" s="118"/>
      <c r="E5" s="118"/>
      <c r="F5" s="118"/>
      <c r="G5" s="118"/>
      <c r="H5" s="118"/>
      <c r="I5" s="118"/>
      <c r="J5" s="118"/>
      <c r="K5" s="118"/>
    </row>
    <row r="6" spans="1:12">
      <c r="B6" s="10"/>
      <c r="C6" s="10"/>
      <c r="G6" s="10"/>
      <c r="K6" s="10"/>
    </row>
    <row r="7" spans="1:12">
      <c r="B7" s="36" t="s">
        <v>16</v>
      </c>
      <c r="C7" s="36"/>
      <c r="D7" s="119" t="s">
        <v>22</v>
      </c>
      <c r="E7" s="119"/>
      <c r="F7" s="36" t="s">
        <v>11</v>
      </c>
      <c r="G7" s="36" t="s">
        <v>18</v>
      </c>
      <c r="K7" s="6"/>
      <c r="L7" s="6"/>
    </row>
    <row r="8" spans="1:12">
      <c r="B8" s="37" t="s">
        <v>19</v>
      </c>
      <c r="C8" s="38" t="s">
        <v>38</v>
      </c>
      <c r="D8" s="48" t="s">
        <v>21</v>
      </c>
      <c r="E8" s="47"/>
      <c r="F8" s="39" t="s">
        <v>24</v>
      </c>
      <c r="G8" s="39" t="s">
        <v>20</v>
      </c>
      <c r="K8" s="6"/>
      <c r="L8" s="6"/>
    </row>
    <row r="9" spans="1:12">
      <c r="B9" s="24"/>
      <c r="C9" s="21"/>
      <c r="D9" s="22"/>
      <c r="G9" s="10"/>
      <c r="K9" s="6"/>
      <c r="L9" s="6"/>
    </row>
    <row r="11" spans="1:12">
      <c r="A11" s="10"/>
      <c r="B11" s="113"/>
      <c r="C11" s="113" t="s">
        <v>7</v>
      </c>
      <c r="D11" s="113" t="s">
        <v>8</v>
      </c>
      <c r="E11" s="113"/>
      <c r="F11" s="113"/>
      <c r="G11" s="113" t="s">
        <v>10</v>
      </c>
      <c r="H11" s="120" t="s">
        <v>25</v>
      </c>
      <c r="I11" s="112" t="s">
        <v>35</v>
      </c>
      <c r="J11" s="112"/>
      <c r="K11" s="112" t="s">
        <v>34</v>
      </c>
      <c r="L11" s="10"/>
    </row>
    <row r="12" spans="1:12">
      <c r="A12" s="10"/>
      <c r="B12" s="113"/>
      <c r="C12" s="113"/>
      <c r="D12" s="113"/>
      <c r="E12" s="113"/>
      <c r="F12" s="113"/>
      <c r="G12" s="113"/>
      <c r="H12" s="121"/>
      <c r="I12" s="31" t="s">
        <v>27</v>
      </c>
      <c r="J12" s="31" t="s">
        <v>6</v>
      </c>
      <c r="K12" s="113"/>
      <c r="L12" s="10"/>
    </row>
    <row r="13" spans="1:12" ht="63">
      <c r="A13" s="10"/>
      <c r="B13" s="20"/>
      <c r="C13" s="20" t="s">
        <v>3</v>
      </c>
      <c r="D13" s="114" t="s">
        <v>58</v>
      </c>
      <c r="E13" s="115"/>
      <c r="F13" s="116"/>
      <c r="G13" s="66" t="s">
        <v>59</v>
      </c>
      <c r="H13" s="20"/>
      <c r="I13" s="53" t="s">
        <v>30</v>
      </c>
      <c r="J13" s="67">
        <v>1.0416666666666666E-2</v>
      </c>
      <c r="K13" s="20"/>
      <c r="L13" s="10"/>
    </row>
    <row r="14" spans="1:12" ht="25.2">
      <c r="A14" s="10"/>
      <c r="B14" s="20"/>
      <c r="C14" s="20" t="s">
        <v>9</v>
      </c>
      <c r="D14" s="114" t="s">
        <v>37</v>
      </c>
      <c r="E14" s="115"/>
      <c r="F14" s="116"/>
      <c r="G14" s="82" t="s">
        <v>60</v>
      </c>
      <c r="H14" s="20"/>
      <c r="I14" s="54" t="s">
        <v>30</v>
      </c>
      <c r="J14" s="68">
        <v>6.9444444444444441E-3</v>
      </c>
      <c r="K14" s="20"/>
      <c r="L14" s="10"/>
    </row>
  </sheetData>
  <mergeCells count="12">
    <mergeCell ref="K11:K12"/>
    <mergeCell ref="D13:F13"/>
    <mergeCell ref="D14:F14"/>
    <mergeCell ref="B4:C4"/>
    <mergeCell ref="B5:K5"/>
    <mergeCell ref="D7:E7"/>
    <mergeCell ref="B11:B12"/>
    <mergeCell ref="C11:C12"/>
    <mergeCell ref="D11:F12"/>
    <mergeCell ref="G11:G12"/>
    <mergeCell ref="H11:H12"/>
    <mergeCell ref="I11:J11"/>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H13:H14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21"/>
  <sheetViews>
    <sheetView showGridLines="0" tabSelected="1" view="pageBreakPreview" topLeftCell="A114" zoomScale="90" zoomScaleNormal="100" zoomScaleSheetLayoutView="90" workbookViewId="0">
      <selection activeCell="D117" sqref="D117:F117"/>
    </sheetView>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28</v>
      </c>
      <c r="C2" s="3"/>
      <c r="D2" s="3"/>
      <c r="E2" s="3"/>
      <c r="F2" s="4"/>
      <c r="G2" s="4"/>
      <c r="H2" s="3"/>
      <c r="I2" s="18"/>
      <c r="J2" s="18"/>
      <c r="K2" s="18"/>
      <c r="L2" s="9"/>
      <c r="M2" s="5"/>
    </row>
    <row r="3" spans="2:14">
      <c r="C3" s="7"/>
      <c r="D3" s="7"/>
      <c r="E3" s="7"/>
      <c r="F3" s="8"/>
      <c r="G3" s="8"/>
      <c r="H3" s="7"/>
      <c r="I3" s="19"/>
      <c r="J3" s="19"/>
      <c r="K3" s="19"/>
      <c r="L3" s="9"/>
      <c r="M3" s="9"/>
    </row>
    <row r="4" spans="2:14" ht="16.2">
      <c r="B4" s="117" t="s">
        <v>4</v>
      </c>
      <c r="C4" s="117"/>
      <c r="D4" s="117"/>
      <c r="E4" s="117"/>
      <c r="F4" s="8"/>
      <c r="G4" s="8"/>
      <c r="H4" s="7"/>
      <c r="I4" s="19"/>
      <c r="J4" s="19"/>
      <c r="K4" s="19"/>
      <c r="L4" s="9"/>
      <c r="M4" s="9"/>
    </row>
    <row r="5" spans="2:14" ht="36" customHeight="1">
      <c r="B5" s="133"/>
      <c r="C5" s="133"/>
      <c r="D5" s="133"/>
      <c r="E5" s="133"/>
      <c r="F5" s="133"/>
      <c r="G5" s="133"/>
      <c r="H5" s="133"/>
      <c r="I5" s="133"/>
      <c r="J5" s="133"/>
      <c r="K5" s="133"/>
      <c r="L5" s="32"/>
      <c r="M5" s="33"/>
    </row>
    <row r="6" spans="2:14" ht="32.4" customHeight="1">
      <c r="B6" s="133"/>
      <c r="C6" s="133"/>
      <c r="D6" s="133"/>
      <c r="E6" s="133"/>
      <c r="F6" s="133"/>
      <c r="G6" s="133"/>
      <c r="H6" s="133"/>
      <c r="I6" s="133"/>
      <c r="J6" s="133"/>
      <c r="K6" s="133"/>
      <c r="L6" s="32"/>
      <c r="M6" s="33"/>
    </row>
    <row r="7" spans="2:14">
      <c r="B7" s="10"/>
      <c r="C7" s="10"/>
      <c r="D7" s="10"/>
      <c r="E7" s="10"/>
      <c r="H7" s="10"/>
      <c r="L7" s="10"/>
      <c r="M7" s="10"/>
    </row>
    <row r="8" spans="2:14">
      <c r="B8" s="36" t="s">
        <v>16</v>
      </c>
      <c r="C8" s="36" t="s">
        <v>17</v>
      </c>
      <c r="D8" s="36" t="s">
        <v>32</v>
      </c>
      <c r="E8" s="36"/>
      <c r="F8" s="36" t="s">
        <v>11</v>
      </c>
      <c r="G8" s="36" t="s">
        <v>18</v>
      </c>
      <c r="I8" s="51"/>
      <c r="J8" s="6"/>
      <c r="K8" s="6"/>
      <c r="L8" s="6"/>
      <c r="M8" s="6"/>
      <c r="N8" s="6"/>
    </row>
    <row r="9" spans="2:14">
      <c r="B9" s="37" t="s">
        <v>44</v>
      </c>
      <c r="C9" s="73" t="s">
        <v>39</v>
      </c>
      <c r="D9" s="39" t="s">
        <v>21</v>
      </c>
      <c r="E9" s="39"/>
      <c r="F9" s="39" t="s">
        <v>23</v>
      </c>
      <c r="G9" s="39" t="s">
        <v>20</v>
      </c>
      <c r="K9" s="6"/>
      <c r="L9" s="6"/>
      <c r="M9" s="6"/>
      <c r="N9" s="6"/>
    </row>
    <row r="10" spans="2:14">
      <c r="B10" s="37" t="s">
        <v>45</v>
      </c>
      <c r="C10" s="73" t="s">
        <v>41</v>
      </c>
      <c r="D10" s="39" t="s">
        <v>21</v>
      </c>
      <c r="E10" s="39"/>
      <c r="F10" s="39" t="s">
        <v>23</v>
      </c>
      <c r="G10" s="39" t="s">
        <v>20</v>
      </c>
      <c r="K10" s="6"/>
      <c r="L10" s="6"/>
      <c r="M10" s="6"/>
      <c r="N10" s="6"/>
    </row>
    <row r="11" spans="2:14">
      <c r="B11" s="37" t="s">
        <v>100</v>
      </c>
      <c r="C11" s="39" t="s">
        <v>40</v>
      </c>
      <c r="D11" s="39" t="s">
        <v>21</v>
      </c>
      <c r="E11" s="39"/>
      <c r="F11" s="39" t="s">
        <v>23</v>
      </c>
      <c r="G11" s="39" t="s">
        <v>20</v>
      </c>
      <c r="K11" s="6"/>
      <c r="L11" s="6"/>
      <c r="M11" s="6"/>
      <c r="N11" s="6"/>
    </row>
    <row r="12" spans="2:14">
      <c r="B12" s="37" t="s">
        <v>101</v>
      </c>
      <c r="C12" s="73" t="s">
        <v>98</v>
      </c>
      <c r="D12" s="39" t="s">
        <v>21</v>
      </c>
      <c r="E12" s="39"/>
      <c r="F12" s="39" t="s">
        <v>23</v>
      </c>
      <c r="G12" s="39" t="s">
        <v>20</v>
      </c>
      <c r="K12" s="6"/>
      <c r="L12" s="6"/>
      <c r="M12" s="6"/>
      <c r="N12" s="6"/>
    </row>
    <row r="13" spans="2:14">
      <c r="B13" s="37" t="s">
        <v>102</v>
      </c>
      <c r="C13" s="39" t="s">
        <v>99</v>
      </c>
      <c r="D13" s="39" t="s">
        <v>21</v>
      </c>
      <c r="E13" s="39"/>
      <c r="F13" s="39" t="s">
        <v>23</v>
      </c>
      <c r="G13" s="39" t="s">
        <v>20</v>
      </c>
      <c r="K13" s="6"/>
      <c r="L13" s="6"/>
      <c r="M13" s="6"/>
      <c r="N13" s="6"/>
    </row>
    <row r="14" spans="2:14">
      <c r="B14" s="37" t="s">
        <v>103</v>
      </c>
      <c r="C14" s="73" t="s">
        <v>42</v>
      </c>
      <c r="D14" s="39" t="s">
        <v>21</v>
      </c>
      <c r="E14" s="39"/>
      <c r="F14" s="39" t="s">
        <v>23</v>
      </c>
      <c r="G14" s="39" t="s">
        <v>20</v>
      </c>
      <c r="K14" s="6"/>
      <c r="L14" s="6"/>
      <c r="M14" s="6"/>
      <c r="N14" s="6"/>
    </row>
    <row r="15" spans="2:14">
      <c r="B15" s="37" t="s">
        <v>104</v>
      </c>
      <c r="C15" s="73" t="s">
        <v>43</v>
      </c>
      <c r="D15" s="39" t="s">
        <v>33</v>
      </c>
      <c r="E15" s="39"/>
      <c r="F15" s="39" t="s">
        <v>23</v>
      </c>
      <c r="G15" s="39" t="s">
        <v>20</v>
      </c>
      <c r="K15" s="6"/>
      <c r="L15" s="6"/>
      <c r="M15" s="6"/>
      <c r="N15" s="6"/>
    </row>
    <row r="16" spans="2:14">
      <c r="B16" s="37" t="s">
        <v>105</v>
      </c>
      <c r="C16" s="73" t="s">
        <v>46</v>
      </c>
      <c r="D16" s="39" t="s">
        <v>21</v>
      </c>
      <c r="E16" s="39"/>
      <c r="F16" s="39" t="s">
        <v>23</v>
      </c>
      <c r="G16" s="39" t="s">
        <v>20</v>
      </c>
      <c r="K16" s="6"/>
      <c r="L16" s="6"/>
      <c r="M16" s="6"/>
      <c r="N16" s="6"/>
    </row>
    <row r="17" spans="1:14">
      <c r="B17" s="37" t="s">
        <v>19</v>
      </c>
      <c r="C17" s="73"/>
      <c r="D17" s="74"/>
      <c r="E17" s="39"/>
      <c r="F17" s="39" t="s">
        <v>23</v>
      </c>
      <c r="G17" s="39" t="s">
        <v>20</v>
      </c>
      <c r="K17" s="6"/>
      <c r="L17" s="6"/>
      <c r="M17" s="6"/>
      <c r="N17" s="6"/>
    </row>
    <row r="18" spans="1:14">
      <c r="B18" s="24"/>
      <c r="C18" s="21"/>
      <c r="D18" s="21"/>
      <c r="E18" s="21"/>
      <c r="F18" s="22"/>
      <c r="H18" s="10"/>
      <c r="L18" s="6"/>
      <c r="M18" s="6"/>
      <c r="N18" s="6"/>
    </row>
    <row r="20" spans="1:14" ht="24" customHeight="1">
      <c r="A20" s="10"/>
      <c r="B20" s="113" t="s">
        <v>5</v>
      </c>
      <c r="C20" s="113" t="s">
        <v>7</v>
      </c>
      <c r="D20" s="113" t="s">
        <v>8</v>
      </c>
      <c r="E20" s="113"/>
      <c r="F20" s="113"/>
      <c r="G20" s="113" t="s">
        <v>10</v>
      </c>
      <c r="H20" s="112" t="s">
        <v>25</v>
      </c>
      <c r="I20" s="131" t="s">
        <v>35</v>
      </c>
      <c r="J20" s="132"/>
      <c r="K20" s="112" t="s">
        <v>36</v>
      </c>
      <c r="L20" s="6"/>
      <c r="M20" s="6"/>
      <c r="N20" s="6"/>
    </row>
    <row r="21" spans="1:14">
      <c r="A21" s="10"/>
      <c r="B21" s="113"/>
      <c r="C21" s="113"/>
      <c r="D21" s="113"/>
      <c r="E21" s="113"/>
      <c r="F21" s="113"/>
      <c r="G21" s="113"/>
      <c r="H21" s="112"/>
      <c r="I21" s="31" t="s">
        <v>27</v>
      </c>
      <c r="J21" s="31" t="s">
        <v>6</v>
      </c>
      <c r="K21" s="113"/>
      <c r="L21" s="6"/>
      <c r="M21" s="6"/>
      <c r="N21" s="6"/>
    </row>
    <row r="22" spans="1:14" ht="151.19999999999999">
      <c r="A22" s="10"/>
      <c r="B22" s="95" t="str">
        <f>master!B3</f>
        <v>講義の目的</v>
      </c>
      <c r="C22" s="55" t="str">
        <f>master!C3</f>
        <v>講義の目的</v>
      </c>
      <c r="D22" s="122" t="s">
        <v>106</v>
      </c>
      <c r="E22" s="123"/>
      <c r="F22" s="124"/>
      <c r="G22" s="55" t="s">
        <v>107</v>
      </c>
      <c r="H22" s="12"/>
      <c r="I22" s="52" t="s">
        <v>26</v>
      </c>
      <c r="J22" s="50">
        <v>2.0833333333333333E-3</v>
      </c>
      <c r="K22" s="46"/>
      <c r="L22" s="6"/>
      <c r="M22" s="6"/>
      <c r="N22" s="6"/>
    </row>
    <row r="23" spans="1:14" ht="138.6" customHeight="1">
      <c r="A23" s="10"/>
      <c r="B23" s="134" t="str">
        <f>master!B4</f>
        <v>Webアプリケーションとは</v>
      </c>
      <c r="C23" s="55" t="str">
        <f>master!C4</f>
        <v>Webアプリケーションとは</v>
      </c>
      <c r="D23" s="122" t="s">
        <v>108</v>
      </c>
      <c r="E23" s="123"/>
      <c r="F23" s="124"/>
      <c r="G23" s="55" t="s">
        <v>48</v>
      </c>
      <c r="H23" s="12"/>
      <c r="I23" s="52" t="s">
        <v>26</v>
      </c>
      <c r="J23" s="50">
        <v>3.472222222222222E-3</v>
      </c>
      <c r="K23" s="46"/>
      <c r="L23" s="6"/>
      <c r="M23" s="6"/>
      <c r="N23" s="6"/>
    </row>
    <row r="24" spans="1:14" ht="75.599999999999994">
      <c r="A24" s="11"/>
      <c r="B24" s="135"/>
      <c r="C24" s="55" t="str">
        <f>master!C5</f>
        <v>Webアプリケーションの種類</v>
      </c>
      <c r="D24" s="122" t="s">
        <v>109</v>
      </c>
      <c r="E24" s="123"/>
      <c r="F24" s="124"/>
      <c r="G24" s="55" t="s">
        <v>52</v>
      </c>
      <c r="H24" s="12"/>
      <c r="I24" s="52" t="s">
        <v>26</v>
      </c>
      <c r="J24" s="50">
        <v>3.472222222222222E-3</v>
      </c>
      <c r="K24" s="46"/>
      <c r="L24" s="6"/>
      <c r="M24" s="6"/>
      <c r="N24" s="6"/>
    </row>
    <row r="25" spans="1:14" ht="37.799999999999997">
      <c r="A25" s="11"/>
      <c r="B25" s="135"/>
      <c r="C25" s="55" t="str">
        <f>master!C6</f>
        <v>アプリケーションとは</v>
      </c>
      <c r="D25" s="122" t="s">
        <v>110</v>
      </c>
      <c r="E25" s="123"/>
      <c r="F25" s="124"/>
      <c r="G25" s="55" t="s">
        <v>50</v>
      </c>
      <c r="H25" s="12"/>
      <c r="I25" s="52" t="s">
        <v>26</v>
      </c>
      <c r="J25" s="50">
        <v>2.0833333333333333E-3</v>
      </c>
      <c r="K25" s="46"/>
      <c r="L25" s="6"/>
      <c r="M25" s="6"/>
      <c r="N25" s="6"/>
    </row>
    <row r="26" spans="1:14" ht="63">
      <c r="A26" s="11"/>
      <c r="B26" s="135"/>
      <c r="C26" s="55" t="str">
        <f>master!C7</f>
        <v>Web画面アプリケーション</v>
      </c>
      <c r="D26" s="122" t="s">
        <v>111</v>
      </c>
      <c r="E26" s="123"/>
      <c r="F26" s="124"/>
      <c r="G26" s="55" t="s">
        <v>49</v>
      </c>
      <c r="H26" s="12"/>
      <c r="I26" s="52" t="s">
        <v>26</v>
      </c>
      <c r="J26" s="50">
        <v>2.0833333333333333E-3</v>
      </c>
      <c r="K26" s="46"/>
      <c r="L26" s="6"/>
      <c r="M26" s="6"/>
      <c r="N26" s="6"/>
    </row>
    <row r="27" spans="1:14" ht="63">
      <c r="A27" s="11"/>
      <c r="B27" s="135"/>
      <c r="C27" s="55"/>
      <c r="D27" s="122" t="s">
        <v>112</v>
      </c>
      <c r="E27" s="123"/>
      <c r="F27" s="124"/>
      <c r="G27" s="55" t="s">
        <v>49</v>
      </c>
      <c r="H27" s="12"/>
      <c r="I27" s="52" t="s">
        <v>26</v>
      </c>
      <c r="J27" s="50">
        <v>6.9444444444444447E-4</v>
      </c>
      <c r="K27" s="46"/>
      <c r="L27" s="6"/>
      <c r="M27" s="6"/>
      <c r="N27" s="6"/>
    </row>
    <row r="28" spans="1:14" ht="113.4">
      <c r="A28" s="11"/>
      <c r="B28" s="136"/>
      <c r="C28" s="55" t="str">
        <f>master!C8</f>
        <v>ブラウザからのリクエスト種類</v>
      </c>
      <c r="D28" s="122" t="s">
        <v>113</v>
      </c>
      <c r="E28" s="123"/>
      <c r="F28" s="124"/>
      <c r="G28" s="55" t="s">
        <v>53</v>
      </c>
      <c r="H28" s="12"/>
      <c r="I28" s="52" t="s">
        <v>26</v>
      </c>
      <c r="J28" s="50">
        <v>2.0833333333333333E-3</v>
      </c>
      <c r="K28" s="46"/>
      <c r="L28" s="6"/>
      <c r="M28" s="6"/>
      <c r="N28" s="6"/>
    </row>
    <row r="29" spans="1:14" ht="102" customHeight="1">
      <c r="A29" s="11"/>
      <c r="B29" s="134" t="str">
        <f>master!B9</f>
        <v>データベースとは</v>
      </c>
      <c r="C29" s="55" t="str">
        <f>master!C9</f>
        <v>データベースとは</v>
      </c>
      <c r="D29" s="122" t="s">
        <v>114</v>
      </c>
      <c r="E29" s="123"/>
      <c r="F29" s="124"/>
      <c r="G29" s="55" t="s">
        <v>50</v>
      </c>
      <c r="H29" s="12"/>
      <c r="I29" s="52" t="s">
        <v>26</v>
      </c>
      <c r="J29" s="50">
        <v>2.0833333333333333E-3</v>
      </c>
      <c r="K29" s="46"/>
      <c r="L29" s="6"/>
      <c r="M29" s="6"/>
      <c r="N29" s="6"/>
    </row>
    <row r="30" spans="1:14" ht="88.2">
      <c r="A30" s="11"/>
      <c r="B30" s="135"/>
      <c r="C30" s="55" t="str">
        <f>master!C10</f>
        <v>リレーショナルデータベース</v>
      </c>
      <c r="D30" s="122" t="s">
        <v>115</v>
      </c>
      <c r="E30" s="123"/>
      <c r="F30" s="124"/>
      <c r="G30" s="55" t="s">
        <v>54</v>
      </c>
      <c r="H30" s="12"/>
      <c r="I30" s="52" t="s">
        <v>26</v>
      </c>
      <c r="J30" s="50">
        <v>3.472222222222222E-3</v>
      </c>
      <c r="K30" s="46"/>
      <c r="L30" s="6"/>
      <c r="M30" s="6"/>
      <c r="N30" s="6"/>
    </row>
    <row r="31" spans="1:14" ht="25.2">
      <c r="A31" s="11"/>
      <c r="B31" s="135"/>
      <c r="C31" s="55" t="str">
        <f>master!C11</f>
        <v>データベースの役割</v>
      </c>
      <c r="D31" s="122" t="s">
        <v>116</v>
      </c>
      <c r="E31" s="123"/>
      <c r="F31" s="124"/>
      <c r="G31" s="55" t="s">
        <v>55</v>
      </c>
      <c r="H31" s="12"/>
      <c r="I31" s="52" t="s">
        <v>26</v>
      </c>
      <c r="J31" s="50">
        <v>3.472222222222222E-3</v>
      </c>
      <c r="K31" s="46" t="s">
        <v>126</v>
      </c>
      <c r="L31" s="6"/>
      <c r="M31" s="6"/>
      <c r="N31" s="6"/>
    </row>
    <row r="32" spans="1:14" ht="75.599999999999994">
      <c r="A32" s="11"/>
      <c r="B32" s="135"/>
      <c r="C32" s="55" t="str">
        <f>master!C12</f>
        <v>2.1.テーブル</v>
      </c>
      <c r="D32" s="122" t="s">
        <v>117</v>
      </c>
      <c r="E32" s="123"/>
      <c r="F32" s="124"/>
      <c r="G32" s="55" t="s">
        <v>52</v>
      </c>
      <c r="H32" s="12"/>
      <c r="I32" s="52" t="s">
        <v>26</v>
      </c>
      <c r="J32" s="50">
        <v>2.0833333333333333E-3</v>
      </c>
      <c r="K32" s="46"/>
      <c r="L32" s="6"/>
      <c r="M32" s="6"/>
      <c r="N32" s="6"/>
    </row>
    <row r="33" spans="1:14" ht="100.8">
      <c r="A33" s="11"/>
      <c r="B33" s="135"/>
      <c r="C33" s="55" t="str">
        <f>master!C13</f>
        <v>2.2.データ型１</v>
      </c>
      <c r="D33" s="122" t="s">
        <v>118</v>
      </c>
      <c r="E33" s="123"/>
      <c r="F33" s="124"/>
      <c r="G33" s="55" t="s">
        <v>56</v>
      </c>
      <c r="H33" s="12"/>
      <c r="I33" s="52" t="s">
        <v>26</v>
      </c>
      <c r="J33" s="50">
        <v>2.0833333333333333E-3</v>
      </c>
      <c r="K33" s="46"/>
      <c r="L33" s="6"/>
      <c r="M33" s="6"/>
      <c r="N33" s="6"/>
    </row>
    <row r="34" spans="1:14" ht="37.799999999999997">
      <c r="A34" s="11"/>
      <c r="B34" s="135"/>
      <c r="C34" s="55" t="str">
        <f>master!C14</f>
        <v>2.2.データ型２</v>
      </c>
      <c r="D34" s="122" t="s">
        <v>119</v>
      </c>
      <c r="E34" s="123"/>
      <c r="F34" s="124"/>
      <c r="G34" s="55" t="s">
        <v>50</v>
      </c>
      <c r="H34" s="12"/>
      <c r="I34" s="52" t="s">
        <v>26</v>
      </c>
      <c r="J34" s="50">
        <v>2.0833333333333333E-3</v>
      </c>
      <c r="K34" s="46"/>
      <c r="L34" s="6"/>
      <c r="M34" s="6"/>
      <c r="N34" s="6"/>
    </row>
    <row r="35" spans="1:14" ht="37.799999999999997">
      <c r="A35" s="11"/>
      <c r="B35" s="135"/>
      <c r="C35" s="55" t="str">
        <f>master!C15</f>
        <v>2.3.リレーション</v>
      </c>
      <c r="D35" s="122" t="s">
        <v>120</v>
      </c>
      <c r="E35" s="123"/>
      <c r="F35" s="124"/>
      <c r="G35" s="55" t="s">
        <v>50</v>
      </c>
      <c r="H35" s="12"/>
      <c r="I35" s="52" t="s">
        <v>26</v>
      </c>
      <c r="J35" s="50">
        <v>3.472222222222222E-3</v>
      </c>
      <c r="K35" s="46"/>
      <c r="L35" s="6"/>
      <c r="M35" s="6"/>
      <c r="N35" s="6"/>
    </row>
    <row r="36" spans="1:14" ht="37.799999999999997">
      <c r="A36" s="11"/>
      <c r="B36" s="136"/>
      <c r="C36" s="55" t="str">
        <f>master!C16</f>
        <v>2.4.データを結合して取得（Join）</v>
      </c>
      <c r="D36" s="122" t="s">
        <v>121</v>
      </c>
      <c r="E36" s="123"/>
      <c r="F36" s="124"/>
      <c r="G36" s="55" t="s">
        <v>50</v>
      </c>
      <c r="H36" s="12"/>
      <c r="I36" s="52" t="s">
        <v>26</v>
      </c>
      <c r="J36" s="50">
        <v>2.0833333333333333E-3</v>
      </c>
      <c r="K36" s="46"/>
      <c r="L36" s="6"/>
      <c r="M36" s="6"/>
      <c r="N36" s="6"/>
    </row>
    <row r="37" spans="1:14" ht="88.2">
      <c r="A37" s="11"/>
      <c r="B37" s="134" t="str">
        <f>master!B17</f>
        <v>Java言語、Springフレームワークとは</v>
      </c>
      <c r="C37" s="55" t="str">
        <f>master!C17</f>
        <v>Webアプリケーションを作成するためのプログラミング言語</v>
      </c>
      <c r="D37" s="122" t="s">
        <v>122</v>
      </c>
      <c r="E37" s="123"/>
      <c r="F37" s="124"/>
      <c r="G37" s="55" t="s">
        <v>54</v>
      </c>
      <c r="H37" s="12"/>
      <c r="I37" s="52" t="s">
        <v>26</v>
      </c>
      <c r="J37" s="50">
        <v>2.0833333333333333E-3</v>
      </c>
      <c r="K37" s="46"/>
      <c r="L37" s="6"/>
      <c r="M37" s="6"/>
      <c r="N37" s="6"/>
    </row>
    <row r="38" spans="1:14" ht="75.599999999999994">
      <c r="A38" s="11"/>
      <c r="B38" s="135"/>
      <c r="C38" s="55" t="str">
        <f>master!C18</f>
        <v>Java</v>
      </c>
      <c r="D38" s="122" t="s">
        <v>123</v>
      </c>
      <c r="E38" s="123"/>
      <c r="F38" s="124"/>
      <c r="G38" s="55" t="s">
        <v>52</v>
      </c>
      <c r="H38" s="12"/>
      <c r="I38" s="52" t="s">
        <v>26</v>
      </c>
      <c r="J38" s="50">
        <v>3.472222222222222E-3</v>
      </c>
      <c r="K38" s="46"/>
      <c r="L38" s="6"/>
      <c r="M38" s="6"/>
      <c r="N38" s="6"/>
    </row>
    <row r="39" spans="1:14" ht="75.599999999999994">
      <c r="A39" s="11"/>
      <c r="B39" s="135"/>
      <c r="C39" s="55" t="str">
        <f>master!C19</f>
        <v>Java言語の構成要素</v>
      </c>
      <c r="D39" s="122" t="s">
        <v>124</v>
      </c>
      <c r="E39" s="123"/>
      <c r="F39" s="124"/>
      <c r="G39" s="55" t="s">
        <v>52</v>
      </c>
      <c r="H39" s="12"/>
      <c r="I39" s="52" t="s">
        <v>26</v>
      </c>
      <c r="J39" s="50">
        <v>2.0833333333333333E-3</v>
      </c>
      <c r="K39" s="46"/>
      <c r="L39" s="6"/>
      <c r="M39" s="6"/>
      <c r="N39" s="6"/>
    </row>
    <row r="40" spans="1:14" ht="50.4">
      <c r="A40" s="11"/>
      <c r="B40" s="135"/>
      <c r="C40" s="55" t="str">
        <f>master!C20</f>
        <v>Webアプリケーションを構成するクラス</v>
      </c>
      <c r="D40" s="122" t="s">
        <v>125</v>
      </c>
      <c r="E40" s="123"/>
      <c r="F40" s="124"/>
      <c r="G40" s="55" t="s">
        <v>51</v>
      </c>
      <c r="H40" s="12"/>
      <c r="I40" s="52" t="s">
        <v>26</v>
      </c>
      <c r="J40" s="50">
        <v>3.472222222222222E-3</v>
      </c>
      <c r="K40" s="46"/>
      <c r="L40" s="6"/>
      <c r="M40" s="6"/>
      <c r="N40" s="6"/>
    </row>
    <row r="41" spans="1:14" ht="88.2">
      <c r="A41" s="11"/>
      <c r="B41" s="135"/>
      <c r="C41" s="55" t="str">
        <f>master!C21</f>
        <v>Nレイヤーアーキテクチャ</v>
      </c>
      <c r="D41" s="122" t="s">
        <v>127</v>
      </c>
      <c r="E41" s="123"/>
      <c r="F41" s="124"/>
      <c r="G41" s="55" t="s">
        <v>54</v>
      </c>
      <c r="H41" s="12"/>
      <c r="I41" s="52" t="s">
        <v>26</v>
      </c>
      <c r="J41" s="50">
        <v>3.472222222222222E-3</v>
      </c>
      <c r="K41" s="46" t="s">
        <v>126</v>
      </c>
      <c r="L41" s="6"/>
      <c r="M41" s="6"/>
      <c r="N41" s="6"/>
    </row>
    <row r="42" spans="1:14" ht="201.6">
      <c r="A42" s="11"/>
      <c r="B42" s="135"/>
      <c r="C42" s="55" t="str">
        <f>master!C22</f>
        <v>View と Controller と Service と Repository</v>
      </c>
      <c r="D42" s="122" t="s">
        <v>128</v>
      </c>
      <c r="E42" s="123"/>
      <c r="F42" s="124"/>
      <c r="G42" s="55" t="s">
        <v>129</v>
      </c>
      <c r="H42" s="12"/>
      <c r="I42" s="52" t="s">
        <v>57</v>
      </c>
      <c r="J42" s="50">
        <v>3.472222222222222E-3</v>
      </c>
      <c r="K42" s="46"/>
      <c r="L42" s="6"/>
      <c r="M42" s="6"/>
      <c r="N42" s="6"/>
    </row>
    <row r="43" spans="1:14" ht="37.799999999999997">
      <c r="A43" s="11"/>
      <c r="B43" s="135"/>
      <c r="C43" s="55" t="str">
        <f>master!C23</f>
        <v>Nレイヤーアーキテクチャ</v>
      </c>
      <c r="D43" s="122" t="s">
        <v>130</v>
      </c>
      <c r="E43" s="123"/>
      <c r="F43" s="124"/>
      <c r="G43" s="55" t="s">
        <v>50</v>
      </c>
      <c r="H43" s="12"/>
      <c r="I43" s="52" t="s">
        <v>26</v>
      </c>
      <c r="J43" s="50">
        <v>2.0833333333333333E-3</v>
      </c>
      <c r="K43" s="46"/>
      <c r="L43" s="6"/>
      <c r="M43" s="6"/>
      <c r="N43" s="6"/>
    </row>
    <row r="44" spans="1:14" ht="163.80000000000001">
      <c r="A44" s="11"/>
      <c r="B44" s="135"/>
      <c r="C44" s="55" t="str">
        <f>master!C24</f>
        <v>Webアプリケーション フレームワーク</v>
      </c>
      <c r="D44" s="122" t="s">
        <v>131</v>
      </c>
      <c r="E44" s="123"/>
      <c r="F44" s="124"/>
      <c r="G44" s="55" t="s">
        <v>132</v>
      </c>
      <c r="H44" s="12"/>
      <c r="I44" s="52" t="s">
        <v>26</v>
      </c>
      <c r="J44" s="50">
        <v>3.472222222222222E-3</v>
      </c>
      <c r="K44" s="46"/>
      <c r="L44" s="6"/>
      <c r="M44" s="6"/>
      <c r="N44" s="6"/>
    </row>
    <row r="45" spans="1:14" ht="25.2">
      <c r="A45" s="11"/>
      <c r="B45" s="135"/>
      <c r="C45" s="55" t="str">
        <f>master!C25</f>
        <v>Java向けWebアプリケーションフレームワーク</v>
      </c>
      <c r="D45" s="122" t="s">
        <v>133</v>
      </c>
      <c r="E45" s="123"/>
      <c r="F45" s="124"/>
      <c r="G45" s="55" t="s">
        <v>55</v>
      </c>
      <c r="H45" s="12"/>
      <c r="I45" s="52" t="s">
        <v>26</v>
      </c>
      <c r="J45" s="50">
        <v>6.9444444444444447E-4</v>
      </c>
      <c r="K45" s="46"/>
      <c r="L45" s="6"/>
      <c r="M45" s="6"/>
      <c r="N45" s="6"/>
    </row>
    <row r="46" spans="1:14" ht="189">
      <c r="A46" s="11"/>
      <c r="B46" s="135"/>
      <c r="C46" s="55" t="str">
        <f>master!C26</f>
        <v>Springフレームワーク</v>
      </c>
      <c r="D46" s="122" t="s">
        <v>134</v>
      </c>
      <c r="E46" s="123"/>
      <c r="F46" s="124"/>
      <c r="G46" s="55" t="s">
        <v>135</v>
      </c>
      <c r="H46" s="12"/>
      <c r="I46" s="52" t="s">
        <v>26</v>
      </c>
      <c r="J46" s="50">
        <v>3.472222222222222E-3</v>
      </c>
      <c r="K46" s="46"/>
      <c r="L46" s="6"/>
      <c r="M46" s="6"/>
      <c r="N46" s="6"/>
    </row>
    <row r="47" spans="1:14" ht="88.2">
      <c r="A47" s="11"/>
      <c r="B47" s="135"/>
      <c r="C47" s="55" t="str">
        <f>master!C27</f>
        <v>Springフレームワーク：DIコンテナとは</v>
      </c>
      <c r="D47" s="122" t="s">
        <v>136</v>
      </c>
      <c r="E47" s="123"/>
      <c r="F47" s="124"/>
      <c r="G47" s="55" t="s">
        <v>54</v>
      </c>
      <c r="H47" s="12"/>
      <c r="I47" s="52" t="s">
        <v>26</v>
      </c>
      <c r="J47" s="50">
        <v>3.472222222222222E-3</v>
      </c>
      <c r="K47" s="46" t="s">
        <v>126</v>
      </c>
      <c r="L47" s="6"/>
      <c r="M47" s="6"/>
      <c r="N47" s="6"/>
    </row>
    <row r="48" spans="1:14" ht="63">
      <c r="A48" s="11"/>
      <c r="B48" s="135"/>
      <c r="C48" s="55" t="str">
        <f>master!C28</f>
        <v>DIコンテナ：DIコンテナが部品を注入する</v>
      </c>
      <c r="D48" s="122" t="s">
        <v>137</v>
      </c>
      <c r="E48" s="123"/>
      <c r="F48" s="124"/>
      <c r="G48" s="55" t="s">
        <v>49</v>
      </c>
      <c r="H48" s="12"/>
      <c r="I48" s="52" t="s">
        <v>26</v>
      </c>
      <c r="J48" s="50">
        <v>2.0833333333333333E-3</v>
      </c>
      <c r="K48" s="46"/>
      <c r="L48" s="6"/>
      <c r="M48" s="6"/>
      <c r="N48" s="6"/>
    </row>
    <row r="49" spans="1:14" ht="100.8">
      <c r="A49" s="11"/>
      <c r="B49" s="135"/>
      <c r="C49" s="55" t="str">
        <f>master!C29</f>
        <v>DIコンテナ：DIコンテナによる部品と注入対象になるための目印</v>
      </c>
      <c r="D49" s="122" t="s">
        <v>138</v>
      </c>
      <c r="E49" s="123"/>
      <c r="F49" s="124"/>
      <c r="G49" s="55" t="s">
        <v>56</v>
      </c>
      <c r="H49" s="12"/>
      <c r="I49" s="52" t="s">
        <v>26</v>
      </c>
      <c r="J49" s="50">
        <v>2.0833333333333333E-3</v>
      </c>
      <c r="K49" s="46"/>
      <c r="L49" s="6"/>
      <c r="M49" s="6"/>
      <c r="N49" s="6"/>
    </row>
    <row r="50" spans="1:14" ht="100.8">
      <c r="A50" s="11"/>
      <c r="B50" s="135"/>
      <c r="C50" s="55" t="str">
        <f>master!C30</f>
        <v>Springフレームワークにおける部品の設定</v>
      </c>
      <c r="D50" s="122" t="s">
        <v>139</v>
      </c>
      <c r="E50" s="123"/>
      <c r="F50" s="124"/>
      <c r="G50" s="55" t="s">
        <v>56</v>
      </c>
      <c r="H50" s="12"/>
      <c r="I50" s="52" t="s">
        <v>26</v>
      </c>
      <c r="J50" s="50">
        <v>2.0833333333333333E-3</v>
      </c>
      <c r="K50" s="46"/>
      <c r="L50" s="6"/>
      <c r="M50" s="6"/>
      <c r="N50" s="6"/>
    </row>
    <row r="51" spans="1:14" ht="88.2">
      <c r="A51" s="11"/>
      <c r="B51" s="135"/>
      <c r="C51" s="55" t="str">
        <f>master!C31</f>
        <v>Spring Boot</v>
      </c>
      <c r="D51" s="122" t="s">
        <v>140</v>
      </c>
      <c r="E51" s="123"/>
      <c r="F51" s="124"/>
      <c r="G51" s="55" t="s">
        <v>54</v>
      </c>
      <c r="H51" s="12"/>
      <c r="I51" s="52" t="s">
        <v>26</v>
      </c>
      <c r="J51" s="50">
        <v>2.0833333333333333E-3</v>
      </c>
      <c r="K51" s="46"/>
      <c r="L51" s="6"/>
      <c r="M51" s="6"/>
      <c r="N51" s="6"/>
    </row>
    <row r="52" spans="1:14" ht="63">
      <c r="A52" s="11"/>
      <c r="B52" s="135"/>
      <c r="C52" s="55" t="str">
        <f>master!C32</f>
        <v>Spring Boot：オートコンフィグレーション</v>
      </c>
      <c r="D52" s="122" t="s">
        <v>141</v>
      </c>
      <c r="E52" s="123"/>
      <c r="F52" s="124"/>
      <c r="G52" s="55" t="s">
        <v>49</v>
      </c>
      <c r="H52" s="12"/>
      <c r="I52" s="52" t="s">
        <v>26</v>
      </c>
      <c r="J52" s="50">
        <v>2.0833333333333333E-3</v>
      </c>
      <c r="K52" s="46"/>
      <c r="L52" s="6"/>
      <c r="M52" s="6"/>
      <c r="N52" s="6"/>
    </row>
    <row r="53" spans="1:14" ht="50.4">
      <c r="A53" s="11"/>
      <c r="B53" s="135"/>
      <c r="C53" s="55" t="str">
        <f>master!C33</f>
        <v>Spring Boot：Starters</v>
      </c>
      <c r="D53" s="122" t="s">
        <v>142</v>
      </c>
      <c r="E53" s="123"/>
      <c r="F53" s="124"/>
      <c r="G53" s="55" t="s">
        <v>51</v>
      </c>
      <c r="H53" s="12"/>
      <c r="I53" s="52" t="s">
        <v>26</v>
      </c>
      <c r="J53" s="50">
        <v>1.3888888888888889E-3</v>
      </c>
      <c r="K53" s="46"/>
      <c r="L53" s="6"/>
      <c r="M53" s="6"/>
      <c r="N53" s="6"/>
    </row>
    <row r="54" spans="1:14" ht="88.2">
      <c r="A54" s="11"/>
      <c r="B54" s="135"/>
      <c r="C54" s="55" t="str">
        <f>master!C34</f>
        <v>Spring Boot：組込みWebAPサーバ</v>
      </c>
      <c r="D54" s="122" t="s">
        <v>143</v>
      </c>
      <c r="E54" s="123"/>
      <c r="F54" s="124"/>
      <c r="G54" s="55" t="s">
        <v>54</v>
      </c>
      <c r="H54" s="12"/>
      <c r="I54" s="52" t="s">
        <v>26</v>
      </c>
      <c r="J54" s="50">
        <v>1.3888888888888889E-3</v>
      </c>
      <c r="K54" s="46"/>
      <c r="L54" s="6"/>
      <c r="M54" s="6"/>
      <c r="N54" s="6"/>
    </row>
    <row r="55" spans="1:14" ht="25.2">
      <c r="A55" s="11"/>
      <c r="B55" s="136"/>
      <c r="C55" s="55" t="str">
        <f>master!C35</f>
        <v>おすすめ書籍：『プロになるためのSpring入門』</v>
      </c>
      <c r="D55" s="122"/>
      <c r="E55" s="123"/>
      <c r="F55" s="124"/>
      <c r="G55" s="55" t="s">
        <v>55</v>
      </c>
      <c r="H55" s="12"/>
      <c r="I55" s="52" t="s">
        <v>26</v>
      </c>
      <c r="J55" s="50">
        <v>6.9444444444444447E-4</v>
      </c>
      <c r="K55" s="46"/>
      <c r="L55" s="6"/>
      <c r="M55" s="6"/>
      <c r="N55" s="6"/>
    </row>
    <row r="56" spans="1:14" ht="37.799999999999997">
      <c r="A56" s="11"/>
      <c r="B56" s="137" t="str">
        <f>master!B37</f>
        <v>導入</v>
      </c>
      <c r="C56" s="77" t="str">
        <f>master!C37</f>
        <v>演習課題の概要</v>
      </c>
      <c r="D56" s="128" t="s">
        <v>186</v>
      </c>
      <c r="E56" s="129"/>
      <c r="F56" s="130"/>
      <c r="G56" s="77" t="s">
        <v>50</v>
      </c>
      <c r="H56" s="78"/>
      <c r="I56" s="79" t="s">
        <v>26</v>
      </c>
      <c r="J56" s="80">
        <v>6.9444444444444447E-4</v>
      </c>
      <c r="K56" s="81"/>
      <c r="L56" s="6"/>
      <c r="M56" s="6"/>
      <c r="N56" s="6"/>
    </row>
    <row r="57" spans="1:14" ht="37.799999999999997">
      <c r="A57" s="11"/>
      <c r="B57" s="138"/>
      <c r="C57" s="77" t="str">
        <f>master!C38</f>
        <v>作成物</v>
      </c>
      <c r="D57" s="128" t="s">
        <v>187</v>
      </c>
      <c r="E57" s="129"/>
      <c r="F57" s="130"/>
      <c r="G57" s="77" t="s">
        <v>50</v>
      </c>
      <c r="H57" s="78"/>
      <c r="I57" s="79" t="s">
        <v>26</v>
      </c>
      <c r="J57" s="80">
        <v>6.9444444444444447E-4</v>
      </c>
      <c r="K57" s="81"/>
      <c r="L57" s="6"/>
      <c r="M57" s="6"/>
      <c r="N57" s="6"/>
    </row>
    <row r="58" spans="1:14" ht="75.599999999999994">
      <c r="A58" s="11"/>
      <c r="B58" s="139"/>
      <c r="C58" s="77" t="str">
        <f>master!C39</f>
        <v>演習課題の進め方</v>
      </c>
      <c r="D58" s="128" t="s">
        <v>188</v>
      </c>
      <c r="E58" s="129"/>
      <c r="F58" s="130"/>
      <c r="G58" s="77" t="s">
        <v>52</v>
      </c>
      <c r="H58" s="78"/>
      <c r="I58" s="79" t="s">
        <v>26</v>
      </c>
      <c r="J58" s="80">
        <v>1.3888888888888888E-2</v>
      </c>
      <c r="K58" s="81"/>
      <c r="L58" s="6"/>
      <c r="M58" s="6"/>
      <c r="N58" s="6"/>
    </row>
    <row r="59" spans="1:14">
      <c r="A59" s="11"/>
      <c r="B59" s="137" t="str">
        <f>master!B40</f>
        <v>Spring Bootプロジェクトの_x000B_準備、起動確認</v>
      </c>
      <c r="C59" s="77" t="str">
        <f>master!C40</f>
        <v>前提条件</v>
      </c>
      <c r="D59" s="128"/>
      <c r="E59" s="129"/>
      <c r="F59" s="130"/>
      <c r="G59" s="77" t="s">
        <v>47</v>
      </c>
      <c r="H59" s="78"/>
      <c r="I59" s="79" t="s">
        <v>26</v>
      </c>
      <c r="J59" s="80">
        <v>6.9444444444444447E-4</v>
      </c>
      <c r="K59" s="81"/>
      <c r="L59" s="6"/>
      <c r="M59" s="6"/>
      <c r="N59" s="6"/>
    </row>
    <row r="60" spans="1:14" ht="37.799999999999997">
      <c r="A60" s="11"/>
      <c r="B60" s="138"/>
      <c r="C60" s="77" t="str">
        <f>master!C41</f>
        <v>Spring Bootプロジェクトの準備</v>
      </c>
      <c r="D60" s="128" t="s">
        <v>189</v>
      </c>
      <c r="E60" s="129"/>
      <c r="F60" s="130"/>
      <c r="G60" s="77" t="s">
        <v>50</v>
      </c>
      <c r="H60" s="78"/>
      <c r="I60" s="79" t="s">
        <v>26</v>
      </c>
      <c r="J60" s="80">
        <v>6.9444444444444441E-3</v>
      </c>
      <c r="K60" s="81"/>
      <c r="L60" s="6"/>
      <c r="M60" s="6"/>
      <c r="N60" s="6"/>
    </row>
    <row r="61" spans="1:14" ht="25.2">
      <c r="A61" s="11"/>
      <c r="B61" s="138"/>
      <c r="C61" s="77" t="str">
        <f>master!C42</f>
        <v>（補足）Spring Bootプロジェクトの準備</v>
      </c>
      <c r="D61" s="128" t="s">
        <v>190</v>
      </c>
      <c r="E61" s="129"/>
      <c r="F61" s="130"/>
      <c r="G61" s="77" t="s">
        <v>55</v>
      </c>
      <c r="H61" s="78"/>
      <c r="I61" s="79" t="s">
        <v>57</v>
      </c>
      <c r="J61" s="80">
        <v>0</v>
      </c>
      <c r="K61" s="81"/>
      <c r="L61" s="6"/>
      <c r="M61" s="6"/>
      <c r="N61" s="6"/>
    </row>
    <row r="62" spans="1:14" ht="88.2">
      <c r="A62" s="11"/>
      <c r="B62" s="138"/>
      <c r="C62" s="77" t="str">
        <f>master!C43</f>
        <v>Spring Bootアプリケーションの起動確認</v>
      </c>
      <c r="D62" s="128" t="s">
        <v>213</v>
      </c>
      <c r="E62" s="129"/>
      <c r="F62" s="130"/>
      <c r="G62" s="77" t="s">
        <v>54</v>
      </c>
      <c r="H62" s="78"/>
      <c r="I62" s="79" t="s">
        <v>57</v>
      </c>
      <c r="J62" s="80">
        <v>6.9444444444444441E-3</v>
      </c>
      <c r="K62" s="81"/>
      <c r="L62" s="6"/>
      <c r="M62" s="6"/>
      <c r="N62" s="6"/>
    </row>
    <row r="63" spans="1:14" ht="50.4">
      <c r="A63" s="11"/>
      <c r="B63" s="138"/>
      <c r="C63" s="77" t="str">
        <f>master!C44</f>
        <v>ECサイト Webアプリの要件 – はじめに</v>
      </c>
      <c r="D63" s="128" t="s">
        <v>191</v>
      </c>
      <c r="E63" s="129"/>
      <c r="F63" s="130"/>
      <c r="G63" s="77" t="s">
        <v>51</v>
      </c>
      <c r="H63" s="78"/>
      <c r="I63" s="79" t="s">
        <v>26</v>
      </c>
      <c r="J63" s="80">
        <v>6.9444444444444447E-4</v>
      </c>
      <c r="K63" s="81"/>
      <c r="L63" s="6"/>
      <c r="M63" s="6"/>
      <c r="N63" s="6"/>
    </row>
    <row r="64" spans="1:14" ht="151.19999999999999">
      <c r="A64" s="11"/>
      <c r="B64" s="138"/>
      <c r="C64" s="77" t="str">
        <f>master!C45</f>
        <v>ECサイト Webアプリの要件➊ 画面</v>
      </c>
      <c r="D64" s="128" t="s">
        <v>194</v>
      </c>
      <c r="E64" s="129"/>
      <c r="F64" s="130"/>
      <c r="G64" s="77" t="s">
        <v>107</v>
      </c>
      <c r="H64" s="78"/>
      <c r="I64" s="79" t="s">
        <v>26</v>
      </c>
      <c r="J64" s="80">
        <v>6.9444444444444447E-4</v>
      </c>
      <c r="K64" s="81"/>
      <c r="L64" s="6"/>
      <c r="M64" s="6"/>
      <c r="N64" s="6"/>
    </row>
    <row r="65" spans="1:14" ht="214.2">
      <c r="A65" s="11"/>
      <c r="B65" s="138"/>
      <c r="C65" s="77" t="str">
        <f>master!C46</f>
        <v>ECサイト Webアプリの要件➋ 機能</v>
      </c>
      <c r="D65" s="128" t="s">
        <v>195</v>
      </c>
      <c r="E65" s="129"/>
      <c r="F65" s="130"/>
      <c r="G65" s="77" t="s">
        <v>193</v>
      </c>
      <c r="H65" s="78"/>
      <c r="I65" s="79" t="s">
        <v>26</v>
      </c>
      <c r="J65" s="80">
        <v>6.9444444444444447E-4</v>
      </c>
      <c r="K65" s="81"/>
      <c r="L65" s="6"/>
      <c r="M65" s="6"/>
      <c r="N65" s="6"/>
    </row>
    <row r="66" spans="1:14" ht="63">
      <c r="A66" s="11"/>
      <c r="B66" s="138"/>
      <c r="C66" s="77" t="str">
        <f>master!C47</f>
        <v>ECサイト Webアプリの要件➌ 画面遷移</v>
      </c>
      <c r="D66" s="128" t="s">
        <v>196</v>
      </c>
      <c r="E66" s="129"/>
      <c r="F66" s="130"/>
      <c r="G66" s="77" t="s">
        <v>49</v>
      </c>
      <c r="H66" s="78"/>
      <c r="I66" s="79" t="s">
        <v>26</v>
      </c>
      <c r="J66" s="80">
        <v>1.3888888888888889E-3</v>
      </c>
      <c r="K66" s="81"/>
      <c r="L66" s="6"/>
      <c r="M66" s="6"/>
      <c r="N66" s="6"/>
    </row>
    <row r="67" spans="1:14" ht="163.80000000000001">
      <c r="A67" s="11"/>
      <c r="B67" s="138"/>
      <c r="C67" s="77" t="str">
        <f>master!C48</f>
        <v>ECサイト Webアプリの要件❹ データ設計</v>
      </c>
      <c r="D67" s="128" t="s">
        <v>198</v>
      </c>
      <c r="E67" s="129"/>
      <c r="F67" s="130"/>
      <c r="G67" s="77" t="s">
        <v>132</v>
      </c>
      <c r="H67" s="78"/>
      <c r="I67" s="79" t="s">
        <v>26</v>
      </c>
      <c r="J67" s="80">
        <v>2.0833333333333333E-3</v>
      </c>
      <c r="K67" s="81"/>
      <c r="L67" s="6"/>
      <c r="M67" s="6"/>
      <c r="N67" s="6"/>
    </row>
    <row r="68" spans="1:14" ht="50.4">
      <c r="A68" s="11"/>
      <c r="B68" s="138"/>
      <c r="C68" s="77" t="str">
        <f>master!C49</f>
        <v>ECサイト Webアプリの要件❺ 初期データ</v>
      </c>
      <c r="D68" s="128" t="s">
        <v>199</v>
      </c>
      <c r="E68" s="129"/>
      <c r="F68" s="130"/>
      <c r="G68" s="77" t="s">
        <v>51</v>
      </c>
      <c r="H68" s="78"/>
      <c r="I68" s="79" t="s">
        <v>26</v>
      </c>
      <c r="J68" s="80">
        <v>6.9444444444444447E-4</v>
      </c>
      <c r="K68" s="81"/>
      <c r="L68" s="6"/>
      <c r="M68" s="6"/>
      <c r="N68" s="6"/>
    </row>
    <row r="69" spans="1:14" ht="37.799999999999997">
      <c r="A69" s="11"/>
      <c r="B69" s="138"/>
      <c r="C69" s="77" t="str">
        <f>master!C50</f>
        <v>ECサイト Webアプリの要件❻ ディレクトリ構成</v>
      </c>
      <c r="D69" s="128" t="s">
        <v>200</v>
      </c>
      <c r="E69" s="129"/>
      <c r="F69" s="130"/>
      <c r="G69" s="77" t="s">
        <v>50</v>
      </c>
      <c r="H69" s="78"/>
      <c r="I69" s="79" t="s">
        <v>26</v>
      </c>
      <c r="J69" s="80">
        <v>1.0416666666666666E-2</v>
      </c>
      <c r="K69" s="81"/>
      <c r="L69" s="6"/>
      <c r="M69" s="6"/>
      <c r="N69" s="6"/>
    </row>
    <row r="70" spans="1:14" ht="37.799999999999997">
      <c r="A70" s="11"/>
      <c r="B70" s="138"/>
      <c r="C70" s="77" t="str">
        <f>master!C51</f>
        <v>ECサイト Webアプリの要件❼ パッケージ構成</v>
      </c>
      <c r="D70" s="128" t="s">
        <v>202</v>
      </c>
      <c r="E70" s="129"/>
      <c r="F70" s="130"/>
      <c r="G70" s="77" t="s">
        <v>50</v>
      </c>
      <c r="H70" s="78"/>
      <c r="I70" s="79" t="s">
        <v>26</v>
      </c>
      <c r="J70" s="80">
        <v>3.472222222222222E-3</v>
      </c>
      <c r="K70" s="81"/>
      <c r="L70" s="6"/>
      <c r="M70" s="6"/>
      <c r="N70" s="6"/>
    </row>
    <row r="71" spans="1:14" ht="37.799999999999997">
      <c r="A71" s="11"/>
      <c r="B71" s="138"/>
      <c r="C71" s="77" t="str">
        <f>master!C52</f>
        <v>ECサイト Webアプリの要件❽ リソース構成</v>
      </c>
      <c r="D71" s="128" t="s">
        <v>201</v>
      </c>
      <c r="E71" s="129"/>
      <c r="F71" s="130"/>
      <c r="G71" s="77" t="s">
        <v>50</v>
      </c>
      <c r="H71" s="78"/>
      <c r="I71" s="79" t="s">
        <v>26</v>
      </c>
      <c r="J71" s="80">
        <v>6.9444444444444447E-4</v>
      </c>
      <c r="K71" s="81"/>
      <c r="L71" s="6"/>
      <c r="M71" s="6"/>
      <c r="N71" s="6"/>
    </row>
    <row r="72" spans="1:14" ht="25.2" customHeight="1">
      <c r="A72" s="11"/>
      <c r="B72" s="137" t="str">
        <f>master!B53</f>
        <v>バイブコーディング：ハンズオン</v>
      </c>
      <c r="C72" s="77" t="str">
        <f>master!C53</f>
        <v>バイブコーディング – はじめに</v>
      </c>
      <c r="D72" s="128" t="s">
        <v>203</v>
      </c>
      <c r="E72" s="129"/>
      <c r="F72" s="130"/>
      <c r="G72" s="77" t="s">
        <v>55</v>
      </c>
      <c r="H72" s="78"/>
      <c r="I72" s="79" t="s">
        <v>26</v>
      </c>
      <c r="J72" s="80">
        <v>1.0416666666666666E-2</v>
      </c>
      <c r="K72" s="81"/>
      <c r="L72" s="6"/>
      <c r="M72" s="6"/>
      <c r="N72" s="6"/>
    </row>
    <row r="73" spans="1:14" ht="138.6">
      <c r="A73" s="11"/>
      <c r="B73" s="138"/>
      <c r="C73" s="77" t="str">
        <f>master!C54</f>
        <v>[構造理解] Webアプリケーションで必要なもの</v>
      </c>
      <c r="D73" s="128" t="s">
        <v>204</v>
      </c>
      <c r="E73" s="129"/>
      <c r="F73" s="130"/>
      <c r="G73" s="77" t="s">
        <v>48</v>
      </c>
      <c r="H73" s="78"/>
      <c r="I73" s="79" t="s">
        <v>26</v>
      </c>
      <c r="J73" s="80">
        <v>1.3888888888888889E-3</v>
      </c>
      <c r="K73" s="81"/>
      <c r="L73" s="6"/>
      <c r="M73" s="6"/>
      <c r="N73" s="6"/>
    </row>
    <row r="74" spans="1:14" ht="50.4">
      <c r="A74" s="11"/>
      <c r="B74" s="138"/>
      <c r="C74" s="98" t="str">
        <f>master!C55</f>
        <v>バイブコーディング➊ 画面モックアップを作ってデザインを決める</v>
      </c>
      <c r="D74" s="128" t="s">
        <v>214</v>
      </c>
      <c r="E74" s="129"/>
      <c r="F74" s="130"/>
      <c r="G74" s="77" t="s">
        <v>51</v>
      </c>
      <c r="H74" s="78"/>
      <c r="I74" s="79" t="s">
        <v>26</v>
      </c>
      <c r="J74" s="80">
        <v>1.3888888888888888E-2</v>
      </c>
      <c r="K74" s="81"/>
      <c r="L74" s="6"/>
      <c r="M74" s="6"/>
      <c r="N74" s="6"/>
    </row>
    <row r="75" spans="1:14" ht="88.2" customHeight="1">
      <c r="A75" s="11"/>
      <c r="B75" s="138"/>
      <c r="C75" s="99"/>
      <c r="D75" s="128" t="s">
        <v>205</v>
      </c>
      <c r="E75" s="129"/>
      <c r="F75" s="130"/>
      <c r="G75" s="77" t="s">
        <v>54</v>
      </c>
      <c r="H75" s="78"/>
      <c r="I75" s="79"/>
      <c r="J75" s="80"/>
      <c r="K75" s="81"/>
      <c r="L75" s="6"/>
      <c r="M75" s="6"/>
      <c r="N75" s="6"/>
    </row>
    <row r="76" spans="1:14" ht="50.4">
      <c r="A76" s="11"/>
      <c r="B76" s="138"/>
      <c r="C76" s="98" t="str">
        <f>master!C56</f>
        <v>バイブコーディング➋ データベースのテーブルを準備する</v>
      </c>
      <c r="D76" s="128" t="s">
        <v>218</v>
      </c>
      <c r="E76" s="129"/>
      <c r="F76" s="130"/>
      <c r="G76" s="77" t="s">
        <v>51</v>
      </c>
      <c r="H76" s="78"/>
      <c r="I76" s="79" t="s">
        <v>26</v>
      </c>
      <c r="J76" s="80">
        <v>1.3888888888888889E-3</v>
      </c>
      <c r="K76" s="81"/>
      <c r="L76" s="6"/>
      <c r="M76" s="6"/>
      <c r="N76" s="6"/>
    </row>
    <row r="77" spans="1:14" ht="88.2">
      <c r="A77" s="11"/>
      <c r="B77" s="138"/>
      <c r="C77" s="99"/>
      <c r="D77" s="128" t="s">
        <v>205</v>
      </c>
      <c r="E77" s="129"/>
      <c r="F77" s="130"/>
      <c r="G77" s="77" t="s">
        <v>54</v>
      </c>
      <c r="H77" s="78"/>
      <c r="I77" s="79"/>
      <c r="J77" s="80"/>
      <c r="K77" s="81"/>
      <c r="L77" s="6"/>
      <c r="M77" s="6"/>
      <c r="N77" s="6"/>
    </row>
    <row r="78" spans="1:14" ht="50.4">
      <c r="A78" s="11"/>
      <c r="B78" s="138"/>
      <c r="C78" s="98" t="str">
        <f>master!C57</f>
        <v>バイブコーディング➌ データベースのデータを準備する</v>
      </c>
      <c r="D78" s="128" t="s">
        <v>217</v>
      </c>
      <c r="E78" s="129"/>
      <c r="F78" s="130"/>
      <c r="G78" s="77" t="s">
        <v>51</v>
      </c>
      <c r="H78" s="78"/>
      <c r="I78" s="79" t="s">
        <v>26</v>
      </c>
      <c r="J78" s="80">
        <v>1.3888888888888889E-3</v>
      </c>
      <c r="K78" s="81"/>
      <c r="L78" s="6"/>
      <c r="M78" s="6"/>
      <c r="N78" s="6"/>
    </row>
    <row r="79" spans="1:14" ht="88.2">
      <c r="A79" s="11"/>
      <c r="B79" s="138"/>
      <c r="C79" s="99"/>
      <c r="D79" s="128" t="s">
        <v>205</v>
      </c>
      <c r="E79" s="129"/>
      <c r="F79" s="130"/>
      <c r="G79" s="77" t="s">
        <v>54</v>
      </c>
      <c r="H79" s="78"/>
      <c r="I79" s="79"/>
      <c r="J79" s="80"/>
      <c r="K79" s="81"/>
      <c r="L79" s="6"/>
      <c r="M79" s="6"/>
      <c r="N79" s="6"/>
    </row>
    <row r="80" spans="1:14" ht="63">
      <c r="A80" s="11"/>
      <c r="B80" s="138"/>
      <c r="C80" s="98" t="str">
        <f>master!C58</f>
        <v>バイブコーディング❹ データベース処理とビジネスロジックを作る</v>
      </c>
      <c r="D80" s="128" t="s">
        <v>216</v>
      </c>
      <c r="E80" s="129"/>
      <c r="F80" s="130"/>
      <c r="G80" s="77" t="s">
        <v>49</v>
      </c>
      <c r="H80" s="78"/>
      <c r="I80" s="79" t="s">
        <v>26</v>
      </c>
      <c r="J80" s="80">
        <v>3.472222222222222E-3</v>
      </c>
      <c r="K80" s="81"/>
      <c r="L80" s="6"/>
      <c r="M80" s="6"/>
      <c r="N80" s="6"/>
    </row>
    <row r="81" spans="1:14" ht="88.2">
      <c r="A81" s="11"/>
      <c r="B81" s="138"/>
      <c r="C81" s="99"/>
      <c r="D81" s="128" t="s">
        <v>205</v>
      </c>
      <c r="E81" s="129"/>
      <c r="F81" s="130"/>
      <c r="G81" s="77" t="s">
        <v>54</v>
      </c>
      <c r="H81" s="78"/>
      <c r="I81" s="79"/>
      <c r="J81" s="80"/>
      <c r="K81" s="81"/>
      <c r="L81" s="6"/>
      <c r="M81" s="6"/>
      <c r="N81" s="6"/>
    </row>
    <row r="82" spans="1:14" ht="50.4">
      <c r="A82" s="11"/>
      <c r="B82" s="138"/>
      <c r="C82" s="77" t="str">
        <f>master!C59</f>
        <v>[解説] RepositoryクラスとSQLの例（抜粋）</v>
      </c>
      <c r="D82" s="128" t="s">
        <v>206</v>
      </c>
      <c r="E82" s="129"/>
      <c r="F82" s="130"/>
      <c r="G82" s="77" t="s">
        <v>51</v>
      </c>
      <c r="H82" s="78"/>
      <c r="I82" s="79" t="s">
        <v>26</v>
      </c>
      <c r="J82" s="80">
        <v>2.0833333333333333E-3</v>
      </c>
      <c r="K82" s="81"/>
      <c r="L82" s="6"/>
      <c r="M82" s="6"/>
      <c r="N82" s="6"/>
    </row>
    <row r="83" spans="1:14" ht="50.4">
      <c r="A83" s="11"/>
      <c r="B83" s="138"/>
      <c r="C83" s="77" t="str">
        <f>master!C60</f>
        <v>[解説] Entity/Modelクラスの例（抜粋）</v>
      </c>
      <c r="D83" s="128" t="s">
        <v>207</v>
      </c>
      <c r="E83" s="129"/>
      <c r="F83" s="130"/>
      <c r="G83" s="77" t="s">
        <v>51</v>
      </c>
      <c r="H83" s="78"/>
      <c r="I83" s="79" t="s">
        <v>26</v>
      </c>
      <c r="J83" s="80">
        <v>1.3888888888888889E-3</v>
      </c>
      <c r="K83" s="81"/>
      <c r="L83" s="6"/>
      <c r="M83" s="6"/>
      <c r="N83" s="6"/>
    </row>
    <row r="84" spans="1:14" ht="37.799999999999997">
      <c r="A84" s="11"/>
      <c r="B84" s="138"/>
      <c r="C84" s="77" t="str">
        <f>master!C61</f>
        <v>[解説] Serviceクラスの例（抜粋）</v>
      </c>
      <c r="D84" s="128" t="s">
        <v>208</v>
      </c>
      <c r="E84" s="129"/>
      <c r="F84" s="130"/>
      <c r="G84" s="77" t="s">
        <v>50</v>
      </c>
      <c r="H84" s="78"/>
      <c r="I84" s="79" t="s">
        <v>26</v>
      </c>
      <c r="J84" s="80">
        <v>6.9444444444444447E-4</v>
      </c>
      <c r="K84" s="81"/>
      <c r="L84" s="6"/>
      <c r="M84" s="6"/>
      <c r="N84" s="6"/>
    </row>
    <row r="85" spans="1:14" ht="50.4">
      <c r="A85" s="11"/>
      <c r="B85" s="138"/>
      <c r="C85" s="98" t="str">
        <f>master!C62</f>
        <v>バイブコーディング❺ モックアップをもとに画面表示/処理を作る</v>
      </c>
      <c r="D85" s="128" t="s">
        <v>215</v>
      </c>
      <c r="E85" s="129"/>
      <c r="F85" s="130"/>
      <c r="G85" s="77" t="s">
        <v>51</v>
      </c>
      <c r="H85" s="78"/>
      <c r="I85" s="79" t="s">
        <v>26</v>
      </c>
      <c r="J85" s="80">
        <v>6.9444444444444441E-3</v>
      </c>
      <c r="K85" s="81"/>
      <c r="L85" s="6"/>
      <c r="M85" s="6"/>
      <c r="N85" s="6"/>
    </row>
    <row r="86" spans="1:14" ht="88.2">
      <c r="A86" s="11"/>
      <c r="B86" s="138"/>
      <c r="C86" s="99"/>
      <c r="D86" s="128" t="s">
        <v>205</v>
      </c>
      <c r="E86" s="129"/>
      <c r="F86" s="130"/>
      <c r="G86" s="77" t="s">
        <v>54</v>
      </c>
      <c r="H86" s="78"/>
      <c r="I86" s="79"/>
      <c r="J86" s="80"/>
      <c r="K86" s="81"/>
      <c r="L86" s="6"/>
      <c r="M86" s="6"/>
      <c r="N86" s="6"/>
    </row>
    <row r="87" spans="1:14" ht="37.799999999999997">
      <c r="A87" s="11"/>
      <c r="B87" s="138"/>
      <c r="C87" s="77" t="str">
        <f>master!C63</f>
        <v>[解説] Controllerクラスの例（抜粋）</v>
      </c>
      <c r="D87" s="128" t="s">
        <v>209</v>
      </c>
      <c r="E87" s="129"/>
      <c r="F87" s="130"/>
      <c r="G87" s="77" t="s">
        <v>50</v>
      </c>
      <c r="H87" s="78"/>
      <c r="I87" s="79" t="s">
        <v>26</v>
      </c>
      <c r="J87" s="80">
        <v>1.3888888888888889E-3</v>
      </c>
      <c r="K87" s="81"/>
      <c r="L87" s="6"/>
      <c r="M87" s="6"/>
      <c r="N87" s="6"/>
    </row>
    <row r="88" spans="1:14" ht="37.799999999999997">
      <c r="A88" s="11"/>
      <c r="B88" s="138"/>
      <c r="C88" s="77" t="str">
        <f>master!C64</f>
        <v>[解説] Thymeleafテンプレートの例（抜粋）</v>
      </c>
      <c r="D88" s="128" t="s">
        <v>210</v>
      </c>
      <c r="E88" s="129"/>
      <c r="F88" s="130"/>
      <c r="G88" s="77" t="s">
        <v>50</v>
      </c>
      <c r="H88" s="78"/>
      <c r="I88" s="79" t="s">
        <v>26</v>
      </c>
      <c r="J88" s="80">
        <v>1.3888888888888889E-3</v>
      </c>
      <c r="K88" s="81"/>
      <c r="L88" s="6"/>
      <c r="M88" s="6"/>
      <c r="N88" s="6"/>
    </row>
    <row r="89" spans="1:14" ht="37.799999999999997">
      <c r="A89" s="11"/>
      <c r="B89" s="138"/>
      <c r="C89" s="77" t="str">
        <f>master!C65</f>
        <v>[解説] Formクラスの例（抜粋）</v>
      </c>
      <c r="D89" s="128" t="s">
        <v>211</v>
      </c>
      <c r="E89" s="129"/>
      <c r="F89" s="130"/>
      <c r="G89" s="77" t="s">
        <v>50</v>
      </c>
      <c r="H89" s="78"/>
      <c r="I89" s="79" t="s">
        <v>26</v>
      </c>
      <c r="J89" s="80">
        <v>6.9444444444444447E-4</v>
      </c>
      <c r="K89" s="81"/>
      <c r="L89" s="6"/>
      <c r="M89" s="6"/>
      <c r="N89" s="6"/>
    </row>
    <row r="90" spans="1:14" ht="75.599999999999994">
      <c r="A90" s="11"/>
      <c r="B90" s="138"/>
      <c r="C90" s="98" t="str">
        <f>master!C66</f>
        <v>バイブコーディング❻ 動作を確認する</v>
      </c>
      <c r="D90" s="128" t="s">
        <v>212</v>
      </c>
      <c r="E90" s="129"/>
      <c r="F90" s="130"/>
      <c r="G90" s="77" t="s">
        <v>52</v>
      </c>
      <c r="H90" s="78"/>
      <c r="I90" s="79" t="s">
        <v>26</v>
      </c>
      <c r="J90" s="80">
        <v>6.9444444444444447E-4</v>
      </c>
      <c r="K90" s="81"/>
      <c r="L90" s="6"/>
      <c r="M90" s="6"/>
      <c r="N90" s="6"/>
    </row>
    <row r="91" spans="1:14" ht="63">
      <c r="A91" s="11"/>
      <c r="B91" s="139"/>
      <c r="C91" s="99"/>
      <c r="D91" s="128" t="s">
        <v>219</v>
      </c>
      <c r="E91" s="129"/>
      <c r="F91" s="130"/>
      <c r="G91" s="77" t="s">
        <v>49</v>
      </c>
      <c r="H91" s="78"/>
      <c r="I91" s="79" t="s">
        <v>26</v>
      </c>
      <c r="J91" s="80">
        <v>6.9444444444444441E-3</v>
      </c>
      <c r="K91" s="81"/>
      <c r="L91" s="6"/>
      <c r="M91" s="6"/>
      <c r="N91" s="6"/>
    </row>
    <row r="92" spans="1:14" ht="100.8">
      <c r="A92" s="11"/>
      <c r="B92" s="137" t="str">
        <f>master!B69</f>
        <v>Gitとは</v>
      </c>
      <c r="C92" s="77" t="str">
        <f>master!C69</f>
        <v>Gitとは</v>
      </c>
      <c r="D92" s="128" t="s">
        <v>223</v>
      </c>
      <c r="E92" s="129"/>
      <c r="F92" s="130"/>
      <c r="G92" s="77" t="s">
        <v>56</v>
      </c>
      <c r="H92" s="78"/>
      <c r="I92" s="79" t="s">
        <v>26</v>
      </c>
      <c r="J92" s="80">
        <v>3.472222222222222E-3</v>
      </c>
      <c r="K92" s="81"/>
      <c r="L92" s="6"/>
      <c r="M92" s="6"/>
      <c r="N92" s="6"/>
    </row>
    <row r="93" spans="1:14" ht="189">
      <c r="A93" s="11"/>
      <c r="B93" s="139"/>
      <c r="C93" s="77" t="str">
        <f>master!C70</f>
        <v>Gitの基本的な流れ</v>
      </c>
      <c r="D93" s="128" t="s">
        <v>230</v>
      </c>
      <c r="E93" s="129"/>
      <c r="F93" s="130"/>
      <c r="G93" s="77" t="s">
        <v>135</v>
      </c>
      <c r="H93" s="78"/>
      <c r="I93" s="79" t="s">
        <v>26</v>
      </c>
      <c r="J93" s="80">
        <v>3.472222222222222E-3</v>
      </c>
      <c r="K93" s="81"/>
      <c r="L93" s="6"/>
      <c r="M93" s="6"/>
      <c r="N93" s="6"/>
    </row>
    <row r="94" spans="1:14" ht="126">
      <c r="A94" s="11"/>
      <c r="B94" s="137" t="str">
        <f>master!B71</f>
        <v>VS Code上でGitを使う手順</v>
      </c>
      <c r="C94" s="77" t="str">
        <f>master!C71</f>
        <v>VS Code上でGitを使う手順-1 【ユーザ名等の登録】</v>
      </c>
      <c r="D94" s="128" t="s">
        <v>224</v>
      </c>
      <c r="E94" s="129"/>
      <c r="F94" s="130"/>
      <c r="G94" s="77" t="s">
        <v>225</v>
      </c>
      <c r="H94" s="78"/>
      <c r="I94" s="79" t="s">
        <v>26</v>
      </c>
      <c r="J94" s="80">
        <v>6.9444444444444441E-3</v>
      </c>
      <c r="K94" s="81"/>
      <c r="L94" s="6"/>
      <c r="M94" s="6"/>
      <c r="N94" s="6"/>
    </row>
    <row r="95" spans="1:14" ht="37.799999999999997">
      <c r="A95" s="11"/>
      <c r="B95" s="138"/>
      <c r="C95" s="77" t="str">
        <f>master!C72</f>
        <v>VS Code上でGitを使う手順-2 【リポジトリの初期化】</v>
      </c>
      <c r="D95" s="128" t="s">
        <v>226</v>
      </c>
      <c r="E95" s="129"/>
      <c r="F95" s="130"/>
      <c r="G95" s="77" t="s">
        <v>50</v>
      </c>
      <c r="H95" s="78"/>
      <c r="I95" s="79" t="s">
        <v>26</v>
      </c>
      <c r="J95" s="80">
        <v>3.472222222222222E-3</v>
      </c>
      <c r="K95" s="81"/>
      <c r="L95" s="6"/>
      <c r="M95" s="6"/>
      <c r="N95" s="6"/>
    </row>
    <row r="96" spans="1:14" ht="50.4">
      <c r="A96" s="11"/>
      <c r="B96" s="138"/>
      <c r="C96" s="77" t="str">
        <f>master!C73</f>
        <v>VS Code上でGitを使う手順-3 【最初のcommit】</v>
      </c>
      <c r="D96" s="128" t="s">
        <v>227</v>
      </c>
      <c r="E96" s="129"/>
      <c r="F96" s="130"/>
      <c r="G96" s="77" t="s">
        <v>51</v>
      </c>
      <c r="H96" s="78"/>
      <c r="I96" s="79" t="s">
        <v>26</v>
      </c>
      <c r="J96" s="80">
        <v>3.472222222222222E-3</v>
      </c>
      <c r="K96" s="81"/>
      <c r="L96" s="6"/>
      <c r="M96" s="6"/>
      <c r="N96" s="6"/>
    </row>
    <row r="97" spans="1:14" ht="50.4">
      <c r="A97" s="11"/>
      <c r="B97" s="138"/>
      <c r="C97" s="77" t="str">
        <f>master!C74</f>
        <v>VS Code上でGitを使う手順-4 【2回目以降のコミット】</v>
      </c>
      <c r="D97" s="128" t="s">
        <v>228</v>
      </c>
      <c r="E97" s="129"/>
      <c r="F97" s="130"/>
      <c r="G97" s="77" t="s">
        <v>51</v>
      </c>
      <c r="H97" s="78"/>
      <c r="I97" s="79" t="s">
        <v>26</v>
      </c>
      <c r="J97" s="80">
        <v>3.472222222222222E-3</v>
      </c>
      <c r="K97" s="81"/>
      <c r="L97" s="6"/>
      <c r="M97" s="6"/>
      <c r="N97" s="6"/>
    </row>
    <row r="98" spans="1:14" ht="37.799999999999997">
      <c r="A98" s="11"/>
      <c r="B98" s="138"/>
      <c r="C98" s="77" t="str">
        <f>master!C75</f>
        <v>VS Code上でGitを使う手順-5 【過去のcommitの確認】</v>
      </c>
      <c r="D98" s="128" t="s">
        <v>229</v>
      </c>
      <c r="E98" s="129"/>
      <c r="F98" s="130"/>
      <c r="G98" s="77" t="s">
        <v>50</v>
      </c>
      <c r="H98" s="78"/>
      <c r="I98" s="79" t="s">
        <v>26</v>
      </c>
      <c r="J98" s="80">
        <v>3.472222222222222E-3</v>
      </c>
      <c r="K98" s="81"/>
      <c r="L98" s="6"/>
      <c r="M98" s="6"/>
      <c r="N98" s="6"/>
    </row>
    <row r="99" spans="1:14" ht="63">
      <c r="A99" s="11"/>
      <c r="B99" s="139"/>
      <c r="C99" s="77" t="str">
        <f>master!C76</f>
        <v>VS Code上でGitを使う手順-6 【過去の状態に戻す】</v>
      </c>
      <c r="D99" s="128" t="s">
        <v>231</v>
      </c>
      <c r="E99" s="129"/>
      <c r="F99" s="130"/>
      <c r="G99" s="77" t="s">
        <v>49</v>
      </c>
      <c r="H99" s="78"/>
      <c r="I99" s="79" t="s">
        <v>26</v>
      </c>
      <c r="J99" s="80">
        <v>3.472222222222222E-3</v>
      </c>
      <c r="K99" s="81"/>
      <c r="L99" s="6"/>
      <c r="M99" s="6"/>
      <c r="N99" s="6"/>
    </row>
    <row r="100" spans="1:14" ht="214.2">
      <c r="A100" s="11"/>
      <c r="B100" s="97" t="str">
        <f>master!B67</f>
        <v>バイブコーディング：演習</v>
      </c>
      <c r="C100" s="77" t="str">
        <f>master!C67</f>
        <v>ここから各自で演習を始めましょう。</v>
      </c>
      <c r="D100" s="128" t="s">
        <v>222</v>
      </c>
      <c r="E100" s="129"/>
      <c r="F100" s="130"/>
      <c r="G100" s="77" t="s">
        <v>193</v>
      </c>
      <c r="H100" s="78"/>
      <c r="I100" s="79" t="s">
        <v>26</v>
      </c>
      <c r="J100" s="80" t="s">
        <v>232</v>
      </c>
      <c r="K100" s="81"/>
      <c r="L100" s="6"/>
      <c r="M100" s="6"/>
      <c r="N100" s="6"/>
    </row>
    <row r="101" spans="1:14" ht="88.2">
      <c r="A101" s="11"/>
      <c r="B101" s="104" t="str">
        <f>master!B78</f>
        <v>導入</v>
      </c>
      <c r="C101" s="103" t="str">
        <f>master!C78</f>
        <v>講義の目的</v>
      </c>
      <c r="D101" s="122" t="s">
        <v>266</v>
      </c>
      <c r="E101" s="123"/>
      <c r="F101" s="124"/>
      <c r="G101" s="55" t="s">
        <v>54</v>
      </c>
      <c r="H101" s="12"/>
      <c r="I101" s="52" t="s">
        <v>26</v>
      </c>
      <c r="J101" s="50">
        <v>1.3888888888888889E-3</v>
      </c>
      <c r="K101" s="46"/>
      <c r="L101" s="6"/>
      <c r="M101" s="6"/>
      <c r="N101" s="6"/>
    </row>
    <row r="102" spans="1:14" ht="37.799999999999997">
      <c r="A102" s="11"/>
      <c r="B102" s="125" t="str">
        <f>master!B79</f>
        <v>システム開発におけるソフトウェア開発ライフサイクル</v>
      </c>
      <c r="C102" s="103" t="str">
        <f>master!C79</f>
        <v>ソフトウェア開発ライフサイクル</v>
      </c>
      <c r="D102" s="122" t="s">
        <v>267</v>
      </c>
      <c r="E102" s="123"/>
      <c r="F102" s="124"/>
      <c r="G102" s="55" t="s">
        <v>50</v>
      </c>
      <c r="H102" s="12"/>
      <c r="I102" s="52" t="s">
        <v>26</v>
      </c>
      <c r="J102" s="50">
        <v>1.3888888888888889E-3</v>
      </c>
      <c r="K102" s="46"/>
      <c r="L102" s="6"/>
      <c r="M102" s="6"/>
      <c r="N102" s="6"/>
    </row>
    <row r="103" spans="1:14" ht="277.2">
      <c r="A103" s="11"/>
      <c r="B103" s="126"/>
      <c r="C103" s="103" t="str">
        <f>master!C80</f>
        <v>ソフトウェア開発ライフサイクルの種類</v>
      </c>
      <c r="D103" s="122" t="s">
        <v>269</v>
      </c>
      <c r="E103" s="123"/>
      <c r="F103" s="124"/>
      <c r="G103" s="55" t="s">
        <v>268</v>
      </c>
      <c r="H103" s="12"/>
      <c r="I103" s="52" t="s">
        <v>26</v>
      </c>
      <c r="J103" s="50">
        <v>6.9444444444444441E-3</v>
      </c>
      <c r="K103" s="46"/>
      <c r="L103" s="6"/>
      <c r="M103" s="6"/>
      <c r="N103" s="6"/>
    </row>
    <row r="104" spans="1:14" ht="151.19999999999999">
      <c r="A104" s="11"/>
      <c r="B104" s="125" t="str">
        <f>master!B81</f>
        <v>TERASOLUNAとは</v>
      </c>
      <c r="C104" s="103" t="s">
        <v>244</v>
      </c>
      <c r="D104" s="122" t="s">
        <v>270</v>
      </c>
      <c r="E104" s="123"/>
      <c r="F104" s="124"/>
      <c r="G104" s="55" t="s">
        <v>107</v>
      </c>
      <c r="H104" s="12"/>
      <c r="I104" s="52" t="s">
        <v>26</v>
      </c>
      <c r="J104" s="50">
        <v>2.0833333333333333E-3</v>
      </c>
      <c r="K104" s="46"/>
      <c r="L104" s="6"/>
      <c r="M104" s="6"/>
      <c r="N104" s="6"/>
    </row>
    <row r="105" spans="1:14" ht="138.6">
      <c r="A105" s="11"/>
      <c r="B105" s="126"/>
      <c r="C105" s="103" t="s">
        <v>245</v>
      </c>
      <c r="D105" s="122" t="s">
        <v>271</v>
      </c>
      <c r="E105" s="123"/>
      <c r="F105" s="124"/>
      <c r="G105" s="55" t="s">
        <v>48</v>
      </c>
      <c r="H105" s="12"/>
      <c r="I105" s="52" t="s">
        <v>26</v>
      </c>
      <c r="J105" s="50">
        <v>2.0833333333333333E-3</v>
      </c>
      <c r="K105" s="46"/>
      <c r="L105" s="6"/>
      <c r="M105" s="6"/>
      <c r="N105" s="6"/>
    </row>
    <row r="106" spans="1:14" ht="189">
      <c r="A106" s="11"/>
      <c r="B106" s="125" t="str">
        <f>master!B83</f>
        <v>V字モデルとは</v>
      </c>
      <c r="C106" s="103" t="s">
        <v>248</v>
      </c>
      <c r="D106" s="122" t="s">
        <v>272</v>
      </c>
      <c r="E106" s="123"/>
      <c r="F106" s="124"/>
      <c r="G106" s="55" t="s">
        <v>135</v>
      </c>
      <c r="H106" s="12"/>
      <c r="I106" s="52" t="s">
        <v>26</v>
      </c>
      <c r="J106" s="50">
        <v>3.472222222222222E-3</v>
      </c>
      <c r="K106" s="46"/>
      <c r="L106" s="6"/>
      <c r="M106" s="6"/>
      <c r="N106" s="6"/>
    </row>
    <row r="107" spans="1:14" ht="100.8">
      <c r="A107" s="11"/>
      <c r="B107" s="127"/>
      <c r="C107" s="103" t="s">
        <v>246</v>
      </c>
      <c r="D107" s="122" t="s">
        <v>273</v>
      </c>
      <c r="E107" s="123"/>
      <c r="F107" s="124"/>
      <c r="G107" s="55" t="s">
        <v>56</v>
      </c>
      <c r="H107" s="12"/>
      <c r="I107" s="52" t="s">
        <v>26</v>
      </c>
      <c r="J107" s="50">
        <v>3.472222222222222E-3</v>
      </c>
      <c r="K107" s="46"/>
      <c r="L107" s="6"/>
      <c r="M107" s="6"/>
      <c r="N107" s="6"/>
    </row>
    <row r="108" spans="1:14" ht="113.4">
      <c r="A108" s="11"/>
      <c r="B108" s="127"/>
      <c r="C108" s="103" t="s">
        <v>250</v>
      </c>
      <c r="D108" s="122" t="s">
        <v>274</v>
      </c>
      <c r="E108" s="123"/>
      <c r="F108" s="124"/>
      <c r="G108" s="55" t="s">
        <v>53</v>
      </c>
      <c r="H108" s="12"/>
      <c r="I108" s="52" t="s">
        <v>26</v>
      </c>
      <c r="J108" s="50">
        <v>3.472222222222222E-3</v>
      </c>
      <c r="K108" s="46"/>
      <c r="L108" s="6"/>
      <c r="M108" s="6"/>
      <c r="N108" s="6"/>
    </row>
    <row r="109" spans="1:14" ht="302.39999999999998">
      <c r="A109" s="11"/>
      <c r="B109" s="127"/>
      <c r="C109" s="103" t="s">
        <v>252</v>
      </c>
      <c r="D109" s="122" t="s">
        <v>276</v>
      </c>
      <c r="E109" s="123"/>
      <c r="F109" s="124"/>
      <c r="G109" s="55" t="s">
        <v>275</v>
      </c>
      <c r="H109" s="12"/>
      <c r="I109" s="52" t="s">
        <v>26</v>
      </c>
      <c r="J109" s="50">
        <v>1.0416666666666666E-2</v>
      </c>
      <c r="K109" s="46"/>
      <c r="L109" s="6"/>
      <c r="M109" s="6"/>
      <c r="N109" s="6"/>
    </row>
    <row r="110" spans="1:14" ht="138.6">
      <c r="A110" s="11"/>
      <c r="B110" s="127"/>
      <c r="C110" s="103" t="s">
        <v>254</v>
      </c>
      <c r="D110" s="122" t="s">
        <v>277</v>
      </c>
      <c r="E110" s="123"/>
      <c r="F110" s="124"/>
      <c r="G110" s="55" t="s">
        <v>48</v>
      </c>
      <c r="H110" s="12"/>
      <c r="I110" s="52" t="s">
        <v>26</v>
      </c>
      <c r="J110" s="50">
        <v>6.9444444444444441E-3</v>
      </c>
      <c r="K110" s="46"/>
      <c r="L110" s="6"/>
      <c r="M110" s="6"/>
      <c r="N110" s="6"/>
    </row>
    <row r="111" spans="1:14" ht="88.2">
      <c r="A111" s="11"/>
      <c r="B111" s="127"/>
      <c r="C111" s="103" t="s">
        <v>256</v>
      </c>
      <c r="D111" s="122" t="s">
        <v>278</v>
      </c>
      <c r="E111" s="123"/>
      <c r="F111" s="124"/>
      <c r="G111" s="55" t="s">
        <v>54</v>
      </c>
      <c r="H111" s="12"/>
      <c r="I111" s="52" t="s">
        <v>26</v>
      </c>
      <c r="J111" s="50">
        <v>3.472222222222222E-3</v>
      </c>
      <c r="K111" s="46"/>
      <c r="L111" s="6"/>
      <c r="M111" s="6"/>
      <c r="N111" s="6"/>
    </row>
    <row r="112" spans="1:14" ht="75.599999999999994">
      <c r="A112" s="11"/>
      <c r="B112" s="127"/>
      <c r="C112" s="103" t="s">
        <v>258</v>
      </c>
      <c r="D112" s="122" t="s">
        <v>279</v>
      </c>
      <c r="E112" s="123"/>
      <c r="F112" s="124"/>
      <c r="G112" s="55" t="s">
        <v>52</v>
      </c>
      <c r="H112" s="12"/>
      <c r="I112" s="52" t="s">
        <v>26</v>
      </c>
      <c r="J112" s="50">
        <v>3.472222222222222E-3</v>
      </c>
      <c r="K112" s="46"/>
      <c r="L112" s="6"/>
      <c r="M112" s="6"/>
      <c r="N112" s="6"/>
    </row>
    <row r="113" spans="1:14" ht="113.4">
      <c r="A113" s="11"/>
      <c r="B113" s="127"/>
      <c r="C113" s="103" t="s">
        <v>260</v>
      </c>
      <c r="D113" s="122" t="s">
        <v>280</v>
      </c>
      <c r="E113" s="123"/>
      <c r="F113" s="124"/>
      <c r="G113" s="55" t="s">
        <v>53</v>
      </c>
      <c r="H113" s="12"/>
      <c r="I113" s="52" t="s">
        <v>26</v>
      </c>
      <c r="J113" s="50">
        <v>3.472222222222222E-3</v>
      </c>
      <c r="K113" s="46"/>
      <c r="L113" s="6"/>
      <c r="M113" s="6"/>
      <c r="N113" s="6"/>
    </row>
    <row r="114" spans="1:14" ht="126">
      <c r="A114" s="11"/>
      <c r="B114" s="127"/>
      <c r="C114" s="103" t="s">
        <v>281</v>
      </c>
      <c r="D114" s="122" t="s">
        <v>282</v>
      </c>
      <c r="E114" s="123"/>
      <c r="F114" s="124"/>
      <c r="G114" s="55" t="s">
        <v>225</v>
      </c>
      <c r="H114" s="12"/>
      <c r="I114" s="52" t="s">
        <v>26</v>
      </c>
      <c r="J114" s="50">
        <v>2.0833333333333333E-3</v>
      </c>
      <c r="K114" s="46"/>
      <c r="L114" s="6"/>
      <c r="M114" s="6"/>
      <c r="N114" s="6"/>
    </row>
    <row r="115" spans="1:14" ht="88.2">
      <c r="A115" s="11"/>
      <c r="B115" s="127"/>
      <c r="C115" s="103" t="s">
        <v>263</v>
      </c>
      <c r="D115" s="122" t="s">
        <v>283</v>
      </c>
      <c r="E115" s="123"/>
      <c r="F115" s="124"/>
      <c r="G115" s="55" t="s">
        <v>54</v>
      </c>
      <c r="H115" s="12"/>
      <c r="I115" s="52" t="s">
        <v>26</v>
      </c>
      <c r="J115" s="50">
        <v>2.0833333333333333E-3</v>
      </c>
      <c r="K115" s="46"/>
      <c r="L115" s="6"/>
      <c r="M115" s="6"/>
      <c r="N115" s="6"/>
    </row>
    <row r="116" spans="1:14" ht="138.6">
      <c r="A116" s="11"/>
      <c r="B116" s="127"/>
      <c r="C116" s="103" t="s">
        <v>264</v>
      </c>
      <c r="D116" s="122" t="s">
        <v>284</v>
      </c>
      <c r="E116" s="123"/>
      <c r="F116" s="124"/>
      <c r="G116" s="55" t="s">
        <v>48</v>
      </c>
      <c r="H116" s="12"/>
      <c r="I116" s="52" t="s">
        <v>26</v>
      </c>
      <c r="J116" s="50">
        <v>2.0833333333333333E-3</v>
      </c>
      <c r="K116" s="46"/>
      <c r="L116" s="6"/>
      <c r="M116" s="6"/>
      <c r="N116" s="6"/>
    </row>
    <row r="117" spans="1:14" ht="24" customHeight="1">
      <c r="A117" s="11"/>
      <c r="B117" s="126"/>
      <c r="C117" s="103" t="s">
        <v>265</v>
      </c>
      <c r="D117" s="122"/>
      <c r="E117" s="123"/>
      <c r="F117" s="124"/>
      <c r="G117" s="55" t="s">
        <v>55</v>
      </c>
      <c r="H117" s="12"/>
      <c r="I117" s="52" t="s">
        <v>26</v>
      </c>
      <c r="J117" s="50">
        <v>6.9444444444444447E-4</v>
      </c>
      <c r="K117" s="46"/>
      <c r="L117" s="6"/>
      <c r="M117" s="6"/>
      <c r="N117" s="6"/>
    </row>
    <row r="118" spans="1:14" ht="24" customHeight="1">
      <c r="A118" s="11"/>
      <c r="B118" s="104"/>
      <c r="C118" s="103"/>
      <c r="D118" s="122"/>
      <c r="E118" s="123"/>
      <c r="F118" s="124"/>
      <c r="G118" s="55" t="s">
        <v>55</v>
      </c>
      <c r="H118" s="12"/>
      <c r="I118" s="52" t="s">
        <v>26</v>
      </c>
      <c r="J118" s="50"/>
      <c r="K118" s="46"/>
      <c r="L118" s="6"/>
      <c r="M118" s="6"/>
      <c r="N118" s="6"/>
    </row>
    <row r="119" spans="1:14" ht="24" customHeight="1">
      <c r="A119" s="11"/>
      <c r="B119" s="104"/>
      <c r="C119" s="103"/>
      <c r="D119" s="122"/>
      <c r="E119" s="123"/>
      <c r="F119" s="124"/>
      <c r="G119" s="55" t="s">
        <v>55</v>
      </c>
      <c r="H119" s="12"/>
      <c r="I119" s="52" t="s">
        <v>26</v>
      </c>
      <c r="J119" s="50"/>
      <c r="K119" s="46"/>
      <c r="L119" s="6"/>
      <c r="M119" s="6"/>
      <c r="N119" s="6"/>
    </row>
    <row r="120" spans="1:14" ht="15" customHeight="1">
      <c r="J120" s="49"/>
    </row>
    <row r="121" spans="1:14" ht="15" customHeight="1"/>
  </sheetData>
  <mergeCells count="118">
    <mergeCell ref="D97:F97"/>
    <mergeCell ref="D96:F96"/>
    <mergeCell ref="D95:F95"/>
    <mergeCell ref="D98:F98"/>
    <mergeCell ref="B94:B99"/>
    <mergeCell ref="D94:F94"/>
    <mergeCell ref="D93:F93"/>
    <mergeCell ref="D99:F99"/>
    <mergeCell ref="D92:F92"/>
    <mergeCell ref="B92:B93"/>
    <mergeCell ref="D77:F77"/>
    <mergeCell ref="D79:F79"/>
    <mergeCell ref="D81:F81"/>
    <mergeCell ref="D75:F75"/>
    <mergeCell ref="D86:F86"/>
    <mergeCell ref="D91:F91"/>
    <mergeCell ref="D83:F83"/>
    <mergeCell ref="D84:F84"/>
    <mergeCell ref="B72:B91"/>
    <mergeCell ref="D85:F85"/>
    <mergeCell ref="D87:F87"/>
    <mergeCell ref="D88:F88"/>
    <mergeCell ref="D89:F89"/>
    <mergeCell ref="D90:F90"/>
    <mergeCell ref="D78:F78"/>
    <mergeCell ref="D80:F80"/>
    <mergeCell ref="D82:F82"/>
    <mergeCell ref="B56:B58"/>
    <mergeCell ref="B59:B71"/>
    <mergeCell ref="D70:F70"/>
    <mergeCell ref="D71:F71"/>
    <mergeCell ref="D72:F72"/>
    <mergeCell ref="D73:F73"/>
    <mergeCell ref="D63:F63"/>
    <mergeCell ref="D57:F57"/>
    <mergeCell ref="D58:F58"/>
    <mergeCell ref="D59:F59"/>
    <mergeCell ref="D60:F60"/>
    <mergeCell ref="D76:F76"/>
    <mergeCell ref="D67:F67"/>
    <mergeCell ref="D68:F68"/>
    <mergeCell ref="D61:F61"/>
    <mergeCell ref="D62:F62"/>
    <mergeCell ref="D64:F64"/>
    <mergeCell ref="D65:F65"/>
    <mergeCell ref="D66:F66"/>
    <mergeCell ref="D69:F69"/>
    <mergeCell ref="D74:F74"/>
    <mergeCell ref="D56:F56"/>
    <mergeCell ref="D38:F38"/>
    <mergeCell ref="D39:F39"/>
    <mergeCell ref="D40:F40"/>
    <mergeCell ref="D41:F41"/>
    <mergeCell ref="D42:F42"/>
    <mergeCell ref="D43:F43"/>
    <mergeCell ref="D44:F44"/>
    <mergeCell ref="D45:F45"/>
    <mergeCell ref="D46:F46"/>
    <mergeCell ref="D47:F47"/>
    <mergeCell ref="D48:F48"/>
    <mergeCell ref="D49:F49"/>
    <mergeCell ref="D55:F55"/>
    <mergeCell ref="D37:F37"/>
    <mergeCell ref="B23:B28"/>
    <mergeCell ref="B29:B36"/>
    <mergeCell ref="B37:B55"/>
    <mergeCell ref="D50:F50"/>
    <mergeCell ref="D51:F51"/>
    <mergeCell ref="D52:F52"/>
    <mergeCell ref="D53:F53"/>
    <mergeCell ref="D54:F54"/>
    <mergeCell ref="D22:F22"/>
    <mergeCell ref="D36:F36"/>
    <mergeCell ref="D23:F23"/>
    <mergeCell ref="D29:F29"/>
    <mergeCell ref="D24:F24"/>
    <mergeCell ref="D26:F26"/>
    <mergeCell ref="D28:F28"/>
    <mergeCell ref="D35:F35"/>
    <mergeCell ref="D25:F25"/>
    <mergeCell ref="D27:F27"/>
    <mergeCell ref="D30:F30"/>
    <mergeCell ref="D31:F31"/>
    <mergeCell ref="D32:F32"/>
    <mergeCell ref="D33:F33"/>
    <mergeCell ref="D34:F34"/>
    <mergeCell ref="I20:J20"/>
    <mergeCell ref="H20:H21"/>
    <mergeCell ref="B4:E4"/>
    <mergeCell ref="B5:K6"/>
    <mergeCell ref="D20:F21"/>
    <mergeCell ref="G20:G21"/>
    <mergeCell ref="B20:B21"/>
    <mergeCell ref="C20:C21"/>
    <mergeCell ref="K20:K21"/>
    <mergeCell ref="D119:F119"/>
    <mergeCell ref="D118:F118"/>
    <mergeCell ref="D116:F116"/>
    <mergeCell ref="D117:F117"/>
    <mergeCell ref="D114:F114"/>
    <mergeCell ref="D115:F115"/>
    <mergeCell ref="D112:F112"/>
    <mergeCell ref="D113:F113"/>
    <mergeCell ref="D104:F104"/>
    <mergeCell ref="D105:F105"/>
    <mergeCell ref="D106:F106"/>
    <mergeCell ref="D107:F107"/>
    <mergeCell ref="D108:F108"/>
    <mergeCell ref="D109:F109"/>
    <mergeCell ref="D110:F110"/>
    <mergeCell ref="D111:F111"/>
    <mergeCell ref="B102:B103"/>
    <mergeCell ref="B104:B105"/>
    <mergeCell ref="B106:B117"/>
    <mergeCell ref="D100:F100"/>
    <mergeCell ref="D101:F101"/>
    <mergeCell ref="D103:F103"/>
    <mergeCell ref="D102:F102"/>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H22:H119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01"/>
  <sheetViews>
    <sheetView topLeftCell="A76" workbookViewId="0">
      <selection activeCell="C81" sqref="C81:C94"/>
    </sheetView>
  </sheetViews>
  <sheetFormatPr defaultColWidth="8.88671875" defaultRowHeight="9.6"/>
  <cols>
    <col min="1" max="1" width="4.6640625" style="75" customWidth="1"/>
    <col min="2" max="2" width="40.109375" style="75" customWidth="1"/>
    <col min="3" max="3" width="44" style="75" bestFit="1" customWidth="1"/>
    <col min="4" max="16384" width="8.88671875" style="75"/>
  </cols>
  <sheetData>
    <row r="1" spans="2:3">
      <c r="B1" s="75" t="s">
        <v>63</v>
      </c>
    </row>
    <row r="2" spans="2:3">
      <c r="B2" s="76" t="s">
        <v>14</v>
      </c>
      <c r="C2" s="76" t="s">
        <v>15</v>
      </c>
    </row>
    <row r="3" spans="2:3">
      <c r="B3" s="75" t="s">
        <v>64</v>
      </c>
      <c r="C3" s="75" t="s">
        <v>64</v>
      </c>
    </row>
    <row r="4" spans="2:3">
      <c r="B4" s="75" t="s">
        <v>66</v>
      </c>
      <c r="C4" s="75" t="s">
        <v>65</v>
      </c>
    </row>
    <row r="5" spans="2:3">
      <c r="C5" s="75" t="s">
        <v>69</v>
      </c>
    </row>
    <row r="6" spans="2:3">
      <c r="C6" s="75" t="s">
        <v>96</v>
      </c>
    </row>
    <row r="7" spans="2:3">
      <c r="C7" s="75" t="s">
        <v>97</v>
      </c>
    </row>
    <row r="8" spans="2:3">
      <c r="C8" s="75" t="s">
        <v>70</v>
      </c>
    </row>
    <row r="9" spans="2:3">
      <c r="B9" s="75" t="s">
        <v>67</v>
      </c>
      <c r="C9" s="75" t="s">
        <v>67</v>
      </c>
    </row>
    <row r="10" spans="2:3">
      <c r="C10" s="75" t="s">
        <v>71</v>
      </c>
    </row>
    <row r="11" spans="2:3">
      <c r="C11" s="75" t="s">
        <v>72</v>
      </c>
    </row>
    <row r="12" spans="2:3">
      <c r="C12" s="75" t="s">
        <v>73</v>
      </c>
    </row>
    <row r="13" spans="2:3">
      <c r="C13" s="75" t="s">
        <v>74</v>
      </c>
    </row>
    <row r="14" spans="2:3">
      <c r="C14" s="75" t="s">
        <v>75</v>
      </c>
    </row>
    <row r="15" spans="2:3">
      <c r="C15" s="75" t="s">
        <v>76</v>
      </c>
    </row>
    <row r="16" spans="2:3">
      <c r="C16" s="75" t="s">
        <v>77</v>
      </c>
    </row>
    <row r="17" spans="2:3">
      <c r="B17" s="75" t="s">
        <v>68</v>
      </c>
      <c r="C17" s="75" t="s">
        <v>78</v>
      </c>
    </row>
    <row r="18" spans="2:3">
      <c r="C18" s="75" t="s">
        <v>79</v>
      </c>
    </row>
    <row r="19" spans="2:3">
      <c r="C19" s="75" t="s">
        <v>80</v>
      </c>
    </row>
    <row r="20" spans="2:3">
      <c r="C20" s="75" t="s">
        <v>81</v>
      </c>
    </row>
    <row r="21" spans="2:3">
      <c r="C21" s="75" t="s">
        <v>82</v>
      </c>
    </row>
    <row r="22" spans="2:3">
      <c r="C22" s="75" t="s">
        <v>83</v>
      </c>
    </row>
    <row r="23" spans="2:3">
      <c r="C23" s="75" t="s">
        <v>82</v>
      </c>
    </row>
    <row r="24" spans="2:3">
      <c r="C24" s="75" t="s">
        <v>84</v>
      </c>
    </row>
    <row r="25" spans="2:3">
      <c r="C25" s="75" t="s">
        <v>85</v>
      </c>
    </row>
    <row r="26" spans="2:3">
      <c r="C26" s="75" t="s">
        <v>86</v>
      </c>
    </row>
    <row r="27" spans="2:3">
      <c r="C27" s="75" t="s">
        <v>87</v>
      </c>
    </row>
    <row r="28" spans="2:3">
      <c r="C28" s="75" t="s">
        <v>88</v>
      </c>
    </row>
    <row r="29" spans="2:3">
      <c r="C29" s="75" t="s">
        <v>89</v>
      </c>
    </row>
    <row r="30" spans="2:3">
      <c r="C30" s="75" t="s">
        <v>90</v>
      </c>
    </row>
    <row r="31" spans="2:3">
      <c r="C31" s="75" t="s">
        <v>91</v>
      </c>
    </row>
    <row r="32" spans="2:3">
      <c r="C32" s="75" t="s">
        <v>92</v>
      </c>
    </row>
    <row r="33" spans="2:3">
      <c r="C33" s="75" t="s">
        <v>93</v>
      </c>
    </row>
    <row r="34" spans="2:3">
      <c r="C34" s="75" t="s">
        <v>94</v>
      </c>
    </row>
    <row r="35" spans="2:3">
      <c r="C35" s="75" t="s">
        <v>95</v>
      </c>
    </row>
    <row r="36" spans="2:3">
      <c r="B36" s="96"/>
      <c r="C36" s="96"/>
    </row>
    <row r="37" spans="2:3">
      <c r="B37" s="75" t="s">
        <v>180</v>
      </c>
      <c r="C37" s="75" t="s">
        <v>185</v>
      </c>
    </row>
    <row r="38" spans="2:3">
      <c r="C38" s="75" t="s">
        <v>144</v>
      </c>
    </row>
    <row r="39" spans="2:3">
      <c r="C39" s="75" t="s">
        <v>145</v>
      </c>
    </row>
    <row r="40" spans="2:3">
      <c r="B40" s="75" t="s">
        <v>181</v>
      </c>
      <c r="C40" s="75" t="s">
        <v>146</v>
      </c>
    </row>
    <row r="41" spans="2:3">
      <c r="C41" s="75" t="s">
        <v>147</v>
      </c>
    </row>
    <row r="42" spans="2:3">
      <c r="C42" s="75" t="s">
        <v>148</v>
      </c>
    </row>
    <row r="43" spans="2:3">
      <c r="C43" s="75" t="s">
        <v>149</v>
      </c>
    </row>
    <row r="44" spans="2:3">
      <c r="B44" s="75" t="s">
        <v>150</v>
      </c>
      <c r="C44" s="75" t="s">
        <v>151</v>
      </c>
    </row>
    <row r="45" spans="2:3">
      <c r="C45" s="75" t="s">
        <v>152</v>
      </c>
    </row>
    <row r="46" spans="2:3">
      <c r="C46" s="75" t="s">
        <v>153</v>
      </c>
    </row>
    <row r="47" spans="2:3">
      <c r="C47" s="75" t="s">
        <v>154</v>
      </c>
    </row>
    <row r="48" spans="2:3">
      <c r="C48" s="75" t="s">
        <v>197</v>
      </c>
    </row>
    <row r="49" spans="2:3">
      <c r="C49" s="75" t="s">
        <v>155</v>
      </c>
    </row>
    <row r="50" spans="2:3">
      <c r="C50" s="75" t="s">
        <v>156</v>
      </c>
    </row>
    <row r="51" spans="2:3">
      <c r="C51" s="75" t="s">
        <v>157</v>
      </c>
    </row>
    <row r="52" spans="2:3">
      <c r="C52" s="75" t="s">
        <v>158</v>
      </c>
    </row>
    <row r="53" spans="2:3">
      <c r="B53" s="75" t="s">
        <v>220</v>
      </c>
      <c r="C53" s="75" t="s">
        <v>159</v>
      </c>
    </row>
    <row r="54" spans="2:3">
      <c r="C54" s="75" t="s">
        <v>160</v>
      </c>
    </row>
    <row r="55" spans="2:3">
      <c r="C55" s="75" t="s">
        <v>161</v>
      </c>
    </row>
    <row r="56" spans="2:3">
      <c r="C56" s="75" t="s">
        <v>162</v>
      </c>
    </row>
    <row r="57" spans="2:3">
      <c r="C57" s="75" t="s">
        <v>163</v>
      </c>
    </row>
    <row r="58" spans="2:3">
      <c r="C58" s="75" t="s">
        <v>164</v>
      </c>
    </row>
    <row r="59" spans="2:3">
      <c r="C59" s="75" t="s">
        <v>165</v>
      </c>
    </row>
    <row r="60" spans="2:3">
      <c r="C60" s="75" t="s">
        <v>166</v>
      </c>
    </row>
    <row r="61" spans="2:3">
      <c r="C61" s="75" t="s">
        <v>167</v>
      </c>
    </row>
    <row r="62" spans="2:3">
      <c r="C62" s="75" t="s">
        <v>168</v>
      </c>
    </row>
    <row r="63" spans="2:3">
      <c r="C63" s="75" t="s">
        <v>169</v>
      </c>
    </row>
    <row r="64" spans="2:3">
      <c r="C64" s="75" t="s">
        <v>192</v>
      </c>
    </row>
    <row r="65" spans="2:3">
      <c r="C65" s="75" t="s">
        <v>170</v>
      </c>
    </row>
    <row r="66" spans="2:3">
      <c r="C66" s="75" t="s">
        <v>171</v>
      </c>
    </row>
    <row r="67" spans="2:3">
      <c r="B67" s="75" t="s">
        <v>221</v>
      </c>
      <c r="C67" s="75" t="s">
        <v>172</v>
      </c>
    </row>
    <row r="68" spans="2:3">
      <c r="B68" s="96"/>
      <c r="C68" s="96"/>
    </row>
    <row r="69" spans="2:3">
      <c r="B69" s="75" t="s">
        <v>182</v>
      </c>
      <c r="C69" s="75" t="s">
        <v>173</v>
      </c>
    </row>
    <row r="70" spans="2:3">
      <c r="C70" s="75" t="s">
        <v>174</v>
      </c>
    </row>
    <row r="71" spans="2:3">
      <c r="B71" s="75" t="s">
        <v>184</v>
      </c>
      <c r="C71" s="75" t="s">
        <v>183</v>
      </c>
    </row>
    <row r="72" spans="2:3">
      <c r="C72" s="75" t="s">
        <v>175</v>
      </c>
    </row>
    <row r="73" spans="2:3">
      <c r="C73" s="75" t="s">
        <v>176</v>
      </c>
    </row>
    <row r="74" spans="2:3">
      <c r="C74" s="75" t="s">
        <v>177</v>
      </c>
    </row>
    <row r="75" spans="2:3">
      <c r="C75" s="75" t="s">
        <v>178</v>
      </c>
    </row>
    <row r="76" spans="2:3">
      <c r="C76" s="75" t="s">
        <v>179</v>
      </c>
    </row>
    <row r="77" spans="2:3">
      <c r="B77" s="96"/>
      <c r="C77" s="96"/>
    </row>
    <row r="78" spans="2:3">
      <c r="B78" s="75" t="s">
        <v>180</v>
      </c>
      <c r="C78" s="100" t="s">
        <v>242</v>
      </c>
    </row>
    <row r="79" spans="2:3">
      <c r="B79" s="75" t="s">
        <v>243</v>
      </c>
      <c r="C79" s="100" t="s">
        <v>233</v>
      </c>
    </row>
    <row r="80" spans="2:3">
      <c r="C80" s="100" t="s">
        <v>234</v>
      </c>
    </row>
    <row r="81" spans="2:3">
      <c r="B81" s="75" t="s">
        <v>247</v>
      </c>
      <c r="C81" s="101" t="s">
        <v>235</v>
      </c>
    </row>
    <row r="82" spans="2:3">
      <c r="C82" s="102" t="s">
        <v>236</v>
      </c>
    </row>
    <row r="83" spans="2:3">
      <c r="B83" s="75" t="s">
        <v>249</v>
      </c>
      <c r="C83" s="102" t="s">
        <v>251</v>
      </c>
    </row>
    <row r="84" spans="2:3">
      <c r="C84" s="102" t="s">
        <v>237</v>
      </c>
    </row>
    <row r="85" spans="2:3">
      <c r="C85" s="102" t="s">
        <v>238</v>
      </c>
    </row>
    <row r="86" spans="2:3">
      <c r="C86" s="102" t="s">
        <v>253</v>
      </c>
    </row>
    <row r="87" spans="2:3">
      <c r="C87" s="102" t="s">
        <v>255</v>
      </c>
    </row>
    <row r="88" spans="2:3">
      <c r="C88" s="102" t="s">
        <v>257</v>
      </c>
    </row>
    <row r="89" spans="2:3">
      <c r="C89" s="102" t="s">
        <v>259</v>
      </c>
    </row>
    <row r="90" spans="2:3">
      <c r="C90" s="102" t="s">
        <v>261</v>
      </c>
    </row>
    <row r="91" spans="2:3">
      <c r="C91" s="102" t="s">
        <v>262</v>
      </c>
    </row>
    <row r="92" spans="2:3">
      <c r="C92" s="102" t="s">
        <v>239</v>
      </c>
    </row>
    <row r="93" spans="2:3">
      <c r="C93" s="102" t="s">
        <v>240</v>
      </c>
    </row>
    <row r="94" spans="2:3">
      <c r="C94" s="102" t="s">
        <v>241</v>
      </c>
    </row>
    <row r="101" spans="3:3">
      <c r="C101" s="102"/>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2026-06-15T11:52:11Z</dcterms:modified>
</cp:coreProperties>
</file>